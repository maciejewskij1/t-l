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126" codeName="{526614CA-9299-8FEA-EDB2-C8A7E91AD4E6}"/>
  <workbookPr showInkAnnotation="0" codeName="ThisWorkbook" defaultThemeVersion="124226"/>
  <mc:AlternateContent xmlns:mc="http://schemas.openxmlformats.org/markup-compatibility/2006">
    <mc:Choice Requires="x15">
      <x15ac:absPath xmlns:x15ac="http://schemas.microsoft.com/office/spreadsheetml/2010/11/ac" url="C:\Users\503036935\Desktop\"/>
    </mc:Choice>
  </mc:AlternateContent>
  <xr:revisionPtr revIDLastSave="0" documentId="10_ncr:100000_{CDC9AF5E-0426-4D38-A3B9-324E47CB3BF1}" xr6:coauthVersionLast="31" xr6:coauthVersionMax="31" xr10:uidLastSave="{00000000-0000-0000-0000-000000000000}"/>
  <bookViews>
    <workbookView xWindow="960" yWindow="690" windowWidth="27318" windowHeight="11760" activeTab="1" xr2:uid="{00000000-000D-0000-FFFF-FFFF00000000}"/>
  </bookViews>
  <sheets>
    <sheet name="Travel &amp; Living Guidelines" sheetId="3" r:id="rId1"/>
    <sheet name="Travel Expense Reimbursement" sheetId="1" r:id="rId2"/>
    <sheet name="Housing &amp; Relocation Policy" sheetId="2" r:id="rId3"/>
  </sheets>
  <functionGroups builtInGroupCount="19"/>
  <calcPr calcId="179017"/>
</workbook>
</file>

<file path=xl/calcChain.xml><?xml version="1.0" encoding="utf-8"?>
<calcChain xmlns="http://schemas.openxmlformats.org/spreadsheetml/2006/main">
  <c r="D67" i="1" l="1"/>
  <c r="D66" i="1"/>
  <c r="E84" i="1" l="1"/>
  <c r="C37" i="1"/>
  <c r="D37" i="1" s="1"/>
  <c r="C46" i="1" l="1"/>
  <c r="D46" i="1" s="1"/>
  <c r="E78" i="1" l="1"/>
  <c r="E72" i="1"/>
  <c r="E49" i="1"/>
  <c r="B49" i="1"/>
  <c r="E66" i="1" l="1"/>
  <c r="E85" i="1" s="1"/>
</calcChain>
</file>

<file path=xl/sharedStrings.xml><?xml version="1.0" encoding="utf-8"?>
<sst xmlns="http://schemas.openxmlformats.org/spreadsheetml/2006/main" count="131" uniqueCount="103">
  <si>
    <t>TRAVEL EXPENSE REIMBURSEMENT FORM</t>
  </si>
  <si>
    <t>PLEASE TYPE ALL INFORMATION (excluding required signatures) TO ENSURE ACCURACY.</t>
  </si>
  <si>
    <t xml:space="preserve">Your signature is required before submitting this form.  </t>
  </si>
  <si>
    <t>You must include itemized receipts for all expenses in order to get reimbursed.</t>
  </si>
  <si>
    <r>
      <t xml:space="preserve">Email completed form with all itemized receipts to </t>
    </r>
    <r>
      <rPr>
        <u/>
        <sz val="12"/>
        <color theme="3" tint="0.39997558519241921"/>
        <rFont val="Calibri"/>
        <family val="2"/>
        <scheme val="minor"/>
      </rPr>
      <t>Aviation.CoopTLforms@ge.com</t>
    </r>
  </si>
  <si>
    <t>Processing takes a minimum of 2 weeks after complete and correct submittal.</t>
  </si>
  <si>
    <t>***If there is any missing information or required documentation, it will delay processing time***</t>
  </si>
  <si>
    <t xml:space="preserve">GE Single Sign On (SSO): </t>
  </si>
  <si>
    <t>Name:</t>
  </si>
  <si>
    <t>Your Signature:</t>
  </si>
  <si>
    <t>By signing above, I acknowledge that I have read and understand the T&amp;L Guidelines and that all information that I have provided is true and correct.  I do understand it is in direct violation of the GE Integrity Policy to willingly provide false information and it is grounds for dismissal.</t>
  </si>
  <si>
    <t>EID Manager Signature:</t>
  </si>
  <si>
    <t>Street Address:</t>
  </si>
  <si>
    <t>City, State,  and Zip:</t>
  </si>
  <si>
    <t>School Name:</t>
  </si>
  <si>
    <t>LIVING STIPEND</t>
  </si>
  <si>
    <t>Select the radial next to your work location and then list your start date and end date.  If you are working a double term, you will receive living assistance for one term at a time.  We will process the 2nd half of your living assistance after your first term.  Living Assistance is considered taxable income.</t>
  </si>
  <si>
    <t>Living A</t>
  </si>
  <si>
    <t>*NUMBER OF WEEKS and TOTAL LIVING ASSISTANCE are calculated automatically</t>
  </si>
  <si>
    <t>Start Date = 1st day of your term and End Date = last day of your term</t>
  </si>
  <si>
    <t>START DATE</t>
  </si>
  <si>
    <t>END DATE</t>
  </si>
  <si>
    <t>NUMBER OF WEEKS</t>
  </si>
  <si>
    <t>TOTAL LIVING ASSISTANCE</t>
  </si>
  <si>
    <t>Living B</t>
  </si>
  <si>
    <t>TRAVEL</t>
  </si>
  <si>
    <t xml:space="preserve">DATES OF TRAVEL (mm/dd/yy)  ***MANDATORY***MUST FILL IN DATES </t>
  </si>
  <si>
    <t>Travel Day 1</t>
  </si>
  <si>
    <t>Travel Day 2</t>
  </si>
  <si>
    <t>Travel Day 3</t>
  </si>
  <si>
    <t>Travel Day 4</t>
  </si>
  <si>
    <t>Travel Day 5</t>
  </si>
  <si>
    <t>mm/dd/yy</t>
  </si>
  <si>
    <t>AIRFARE (no reimbursement for airline miles/points)</t>
  </si>
  <si>
    <t xml:space="preserve">Round Trip Airfare </t>
  </si>
  <si>
    <t>Baggage Fees (2 bags allowed, must have paid receipts)</t>
  </si>
  <si>
    <t>OR</t>
  </si>
  <si>
    <t>Type</t>
  </si>
  <si>
    <t>Total Mileage</t>
  </si>
  <si>
    <t>Amount</t>
  </si>
  <si>
    <t>TOTAL MILEAGE AMOUNT</t>
  </si>
  <si>
    <t>Round-Trip Mileage</t>
  </si>
  <si>
    <t>Other (airport, shuttle, etc.)</t>
  </si>
  <si>
    <t>TOLLS (Must include receipts or EZ pass print-out with transactions circled)</t>
  </si>
  <si>
    <t>Total Tolls</t>
  </si>
  <si>
    <t>MEALS - Itemized receipts required (no exceptions) - $35.00 per day is the maximum amount allowed</t>
  </si>
  <si>
    <t xml:space="preserve">Travel Days </t>
  </si>
  <si>
    <t>Breakfast</t>
  </si>
  <si>
    <t>Lunch</t>
  </si>
  <si>
    <t>Dinner</t>
  </si>
  <si>
    <t>TOTAL MEAL AMOUNT</t>
  </si>
  <si>
    <t>Day 1</t>
  </si>
  <si>
    <t>If &gt;400 miles Day 2</t>
  </si>
  <si>
    <t>If &gt;800 miles Day 3</t>
  </si>
  <si>
    <t>If &gt;1200 miles Day 4</t>
  </si>
  <si>
    <t>HOTEL - Specific dates of stay required (Total amount is calculated automatically)</t>
  </si>
  <si>
    <t>$90.00 maximum amount per stay.  Requires 400 miles per day of travel.   Paid receipt(s) from hotel is required.</t>
  </si>
  <si>
    <t>Dates (mm/dd/yy)</t>
  </si>
  <si>
    <t>TOTAL HOTEL AMOUNT</t>
  </si>
  <si>
    <t>If &gt;400 miles Night 1</t>
  </si>
  <si>
    <t>If &gt;800 miles Night 2</t>
  </si>
  <si>
    <t>If &gt;1200 miles Night 3</t>
  </si>
  <si>
    <t>If &gt;1600 miles Night 4</t>
  </si>
  <si>
    <t>NOTES or OTHER EXPENDITURES (include detailed explanation)</t>
  </si>
  <si>
    <t>TOTAL OTHER</t>
  </si>
  <si>
    <t>TOTAL TRAVEL REIMBURSEMENT (tax-free)</t>
  </si>
  <si>
    <t>PERMANENT RESIDENCE ADDRESS</t>
  </si>
  <si>
    <r>
      <t xml:space="preserve">All receipts must be itemized. </t>
    </r>
    <r>
      <rPr>
        <b/>
        <sz val="11"/>
        <color rgb="FFFF0000"/>
        <rFont val="Calibri"/>
        <family val="2"/>
        <scheme val="minor"/>
      </rPr>
      <t>For mileage over 400 miles one way, you must submit fuel receipts.</t>
    </r>
    <r>
      <rPr>
        <b/>
        <sz val="11"/>
        <rFont val="Calibri"/>
        <family val="2"/>
        <scheme val="minor"/>
      </rPr>
      <t xml:space="preserve">  If under 400 miles one way, you do not need to submit fuel receipts. Make sure to list </t>
    </r>
    <r>
      <rPr>
        <b/>
        <u/>
        <sz val="11"/>
        <rFont val="Calibri"/>
        <family val="2"/>
        <scheme val="minor"/>
      </rPr>
      <t>one-way</t>
    </r>
    <r>
      <rPr>
        <b/>
        <sz val="11"/>
        <rFont val="Calibri"/>
        <family val="2"/>
        <scheme val="minor"/>
      </rPr>
      <t xml:space="preserve"> mileage and include a copy of the corresponding MapQuest to show start/end locations and total mileage.  To claim airfare, you will need to purchase a round-trip ticket.  Mileage cannot be submitted once you have utilized the airline option. </t>
    </r>
  </si>
  <si>
    <t>GE AVIATION Housing &amp; Relocation Policy</t>
  </si>
  <si>
    <t>Effective January 1, 2014</t>
  </si>
  <si>
    <t>Housing</t>
  </si>
  <si>
    <t>Relocation to site</t>
  </si>
  <si>
    <t>Policy</t>
  </si>
  <si>
    <t>$150 per week net/$600 per month</t>
  </si>
  <si>
    <t>Housing - California, Boston, Seattle, Long Island, and Houstong</t>
  </si>
  <si>
    <t>Transportation Stipend</t>
  </si>
  <si>
    <t>Public transportation costs not reimbursed</t>
  </si>
  <si>
    <t>Pay Process</t>
  </si>
  <si>
    <t>Processing takes a minimum of 2 weeks after correct/completed form is received by co-op office</t>
  </si>
  <si>
    <t>Furniture Rental</t>
  </si>
  <si>
    <t>Not covered</t>
  </si>
  <si>
    <t>Mileage</t>
  </si>
  <si>
    <t>Airfare</t>
  </si>
  <si>
    <r>
      <t>Must be roundtrip ticket, receipts required. Will</t>
    </r>
    <r>
      <rPr>
        <b/>
        <sz val="11"/>
        <color theme="1"/>
        <rFont val="Calibri"/>
        <family val="2"/>
        <scheme val="minor"/>
      </rPr>
      <t xml:space="preserve"> not </t>
    </r>
    <r>
      <rPr>
        <sz val="11"/>
        <color theme="1"/>
        <rFont val="Calibri"/>
        <family val="2"/>
        <scheme val="minor"/>
      </rPr>
      <t>be paid mileage too.</t>
    </r>
  </si>
  <si>
    <t>Hotel</t>
  </si>
  <si>
    <t>&gt;400 miles per day, receipts require.</t>
  </si>
  <si>
    <t>$90 max per stay</t>
  </si>
  <si>
    <t>Food</t>
  </si>
  <si>
    <t>&gt;400 miles per day, must be while enroute (includes driving or flying). Meals are not reimbursed in the work site or the home location.</t>
  </si>
  <si>
    <t>$35 max per day</t>
  </si>
  <si>
    <t>Tolls</t>
  </si>
  <si>
    <t>Reimbursed 100% &gt;50 miles, receipts required</t>
  </si>
  <si>
    <t>Shipping of Car</t>
  </si>
  <si>
    <t>Rental Car</t>
  </si>
  <si>
    <t>Uhaul/PODs/etc.</t>
  </si>
  <si>
    <t>Household Goods</t>
  </si>
  <si>
    <t>Expenses not covered</t>
  </si>
  <si>
    <r>
      <t xml:space="preserve">Standard GE amount paid to and from site &gt;50 miles. Must provide Mapquest route. If under 400 miles one-way, round trip mileage paid at beginning of assignment. </t>
    </r>
    <r>
      <rPr>
        <b/>
        <sz val="11"/>
        <color theme="1"/>
        <rFont val="Calibri"/>
        <family val="2"/>
        <scheme val="minor"/>
      </rPr>
      <t>If over 400 miles, one-way will be paid at beginning of assignment; must submit another form after rotation for return travel.</t>
    </r>
  </si>
  <si>
    <r>
      <t xml:space="preserve">&gt;50 miles from home and if housing is required. </t>
    </r>
    <r>
      <rPr>
        <b/>
        <sz val="11"/>
        <color rgb="FF000000"/>
        <rFont val="Calibri"/>
        <family val="2"/>
        <scheme val="minor"/>
      </rPr>
      <t>You must provide a W-2 or a utility bill to be paid. If you leave rotation early for any reason, you MUST pay back the difference of the housing stipend. If you are working a double rotation, you will receive living assistance one term at a time.</t>
    </r>
  </si>
  <si>
    <t>$250 per week net/$1000 per month</t>
  </si>
  <si>
    <t>x</t>
  </si>
  <si>
    <r>
      <t>One-Way Airfare (</t>
    </r>
    <r>
      <rPr>
        <b/>
        <sz val="11"/>
        <rFont val="Calibri"/>
        <family val="2"/>
        <scheme val="minor"/>
      </rPr>
      <t>Must be APPROVED by Alissa Friedman prior to your trip</t>
    </r>
    <r>
      <rPr>
        <sz val="11"/>
        <rFont val="Calibri"/>
        <family val="2"/>
        <scheme val="minor"/>
      </rPr>
      <t>):</t>
    </r>
  </si>
  <si>
    <r>
      <t xml:space="preserve">PERSONAL CAR - </t>
    </r>
    <r>
      <rPr>
        <b/>
        <sz val="12"/>
        <color rgb="FFFF0000"/>
        <rFont val="Calibri"/>
        <family val="2"/>
        <scheme val="minor"/>
      </rPr>
      <t xml:space="preserve">For mileage over 400 miles one way, you must submit fuel receipts. </t>
    </r>
    <r>
      <rPr>
        <b/>
        <sz val="12"/>
        <rFont val="Calibri"/>
        <family val="2"/>
        <scheme val="minor"/>
      </rPr>
      <t xml:space="preserve"> If under 400 miles one way, you do not need to submit fuel receipts.  Remember to include a copy of a map from Mapquest that shows a one-way route with exact addresses.  Links are not accepted.</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</si>
</sst>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7" formatCode="&quot;$&quot;#,##0.00_);\(&quot;$&quot;#,##0.00\)"/>
    <numFmt numFmtId="164" formatCode="&quot;$&quot;#,##0.00"/>
    <numFmt numFmtId="165" formatCode="mm/dd/yy;@"/>
  </numFmts>
  <fonts count="29" x14ac:knownFonts="1">
    <font>
      <sz val="11"/>
      <color theme="1"/>
      <name val="Calibri"/>
      <family val="2"/>
      <scheme val="minor"/>
    </font>
    <font>
      <b/>
      <sz val="11"/>
      <color theme="1"/>
      <name val="Calibri"/>
      <family val="2"/>
      <scheme val="minor"/>
    </font>
    <font>
      <sz val="8"/>
      <color rgb="FF000000"/>
      <name val="Tahoma"/>
      <family val="2"/>
    </font>
    <font>
      <b/>
      <sz val="18"/>
      <name val="Calibri"/>
      <family val="2"/>
      <scheme val="minor"/>
    </font>
    <font>
      <sz val="12"/>
      <name val="Calibri"/>
      <family val="2"/>
      <scheme val="minor"/>
    </font>
    <font>
      <b/>
      <sz val="12"/>
      <color theme="1"/>
      <name val="Calibri"/>
      <family val="2"/>
      <scheme val="minor"/>
    </font>
    <font>
      <u/>
      <sz val="12"/>
      <color theme="3" tint="0.39997558519241921"/>
      <name val="Calibri"/>
      <family val="2"/>
      <scheme val="minor"/>
    </font>
    <font>
      <b/>
      <sz val="12"/>
      <color theme="3"/>
      <name val="Calibri"/>
      <family val="2"/>
      <scheme val="minor"/>
    </font>
    <font>
      <b/>
      <sz val="10"/>
      <name val="Calibri"/>
      <family val="2"/>
      <scheme val="minor"/>
    </font>
    <font>
      <sz val="10"/>
      <name val="Calibri"/>
      <family val="2"/>
      <scheme val="minor"/>
    </font>
    <font>
      <sz val="10"/>
      <color theme="1"/>
      <name val="Calibri"/>
      <family val="2"/>
      <scheme val="minor"/>
    </font>
    <font>
      <b/>
      <sz val="9"/>
      <color rgb="FFFF0000"/>
      <name val="Calibri"/>
      <family val="2"/>
      <scheme val="minor"/>
    </font>
    <font>
      <sz val="11"/>
      <name val="Calibri"/>
      <family val="2"/>
      <scheme val="minor"/>
    </font>
    <font>
      <b/>
      <u/>
      <sz val="10"/>
      <name val="Calibri"/>
      <family val="2"/>
      <scheme val="minor"/>
    </font>
    <font>
      <sz val="11"/>
      <color theme="2" tint="-0.749992370372631"/>
      <name val="Calibri"/>
      <family val="2"/>
      <scheme val="minor"/>
    </font>
    <font>
      <b/>
      <sz val="16"/>
      <name val="Calibri"/>
      <family val="2"/>
      <scheme val="minor"/>
    </font>
    <font>
      <b/>
      <sz val="14"/>
      <name val="Calibri"/>
      <family val="2"/>
      <scheme val="minor"/>
    </font>
    <font>
      <b/>
      <sz val="11"/>
      <name val="Calibri"/>
      <family val="2"/>
      <scheme val="minor"/>
    </font>
    <font>
      <b/>
      <sz val="12"/>
      <name val="Calibri"/>
      <family val="2"/>
      <scheme val="minor"/>
    </font>
    <font>
      <b/>
      <sz val="11"/>
      <color rgb="FFFF0000"/>
      <name val="Calibri"/>
      <family val="2"/>
      <scheme val="minor"/>
    </font>
    <font>
      <b/>
      <u/>
      <sz val="11"/>
      <name val="Calibri"/>
      <family val="2"/>
      <scheme val="minor"/>
    </font>
    <font>
      <b/>
      <sz val="13"/>
      <name val="Calibri"/>
      <family val="2"/>
      <scheme val="minor"/>
    </font>
    <font>
      <b/>
      <sz val="12"/>
      <color rgb="FFFF0000"/>
      <name val="Calibri"/>
      <family val="2"/>
      <scheme val="minor"/>
    </font>
    <font>
      <b/>
      <sz val="10"/>
      <color theme="1"/>
      <name val="Calibri"/>
      <family val="2"/>
      <scheme val="minor"/>
    </font>
    <font>
      <sz val="12"/>
      <color theme="1"/>
      <name val="Calibri"/>
      <family val="2"/>
      <scheme val="minor"/>
    </font>
    <font>
      <sz val="11"/>
      <color indexed="10"/>
      <name val="Calibri"/>
      <family val="2"/>
      <scheme val="minor"/>
    </font>
    <font>
      <sz val="14"/>
      <color theme="1"/>
      <name val="Calibri"/>
      <family val="2"/>
      <scheme val="minor"/>
    </font>
    <font>
      <sz val="11"/>
      <color rgb="FF000000"/>
      <name val="Calibri"/>
      <family val="2"/>
      <scheme val="minor"/>
    </font>
    <font>
      <b/>
      <sz val="11"/>
      <color rgb="FF000000"/>
      <name val="Calibri"/>
      <family val="2"/>
      <scheme val="minor"/>
    </font>
  </fonts>
  <fills count="10">
    <fill>
      <patternFill patternType="none"/>
    </fill>
    <fill>
      <patternFill patternType="gray125"/>
    </fill>
    <fill>
      <patternFill patternType="solid">
        <fgColor theme="0" tint="-0.249977111117893"/>
        <bgColor indexed="64"/>
      </patternFill>
    </fill>
    <fill>
      <patternFill patternType="solid">
        <fgColor theme="2" tint="-0.749992370372631"/>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2" tint="-0.49998474074526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s>
  <borders count="61">
    <border>
      <left/>
      <right/>
      <top/>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right/>
      <top/>
      <bottom style="thin">
        <color indexed="64"/>
      </bottom>
      <diagonal/>
    </border>
    <border>
      <left/>
      <right/>
      <top style="thin">
        <color indexed="64"/>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thick">
        <color indexed="64"/>
      </left>
      <right/>
      <top style="medium">
        <color indexed="64"/>
      </top>
      <bottom/>
      <diagonal/>
    </border>
    <border>
      <left/>
      <right/>
      <top style="medium">
        <color indexed="64"/>
      </top>
      <bottom/>
      <diagonal/>
    </border>
    <border>
      <left/>
      <right style="thick">
        <color indexed="64"/>
      </right>
      <top style="medium">
        <color indexed="64"/>
      </top>
      <bottom/>
      <diagonal/>
    </border>
    <border>
      <left style="thick">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indexed="64"/>
      </right>
      <top style="thin">
        <color auto="1"/>
      </top>
      <bottom style="thin">
        <color auto="1"/>
      </bottom>
      <diagonal/>
    </border>
    <border>
      <left style="thin">
        <color auto="1"/>
      </left>
      <right style="medium">
        <color auto="1"/>
      </right>
      <top style="thin">
        <color auto="1"/>
      </top>
      <bottom style="thin">
        <color auto="1"/>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style="thick">
        <color indexed="64"/>
      </bottom>
      <diagonal/>
    </border>
    <border>
      <left style="medium">
        <color indexed="64"/>
      </left>
      <right/>
      <top style="thin">
        <color auto="1"/>
      </top>
      <bottom style="thick">
        <color indexed="64"/>
      </bottom>
      <diagonal/>
    </border>
    <border>
      <left/>
      <right style="thick">
        <color indexed="64"/>
      </right>
      <top style="thin">
        <color auto="1"/>
      </top>
      <bottom style="thick">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top/>
      <bottom style="thin">
        <color indexed="64"/>
      </bottom>
      <diagonal/>
    </border>
    <border>
      <left style="medium">
        <color indexed="64"/>
      </left>
      <right style="thick">
        <color indexed="64"/>
      </right>
      <top/>
      <bottom style="thin">
        <color indexed="64"/>
      </bottom>
      <diagonal/>
    </border>
    <border>
      <left style="thick">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thin">
        <color indexed="64"/>
      </left>
      <right style="thin">
        <color indexed="64"/>
      </right>
      <top/>
      <bottom/>
      <diagonal/>
    </border>
    <border>
      <left style="medium">
        <color indexed="64"/>
      </left>
      <right style="thick">
        <color indexed="64"/>
      </right>
      <top/>
      <bottom/>
      <diagonal/>
    </border>
    <border>
      <left style="medium">
        <color indexed="64"/>
      </left>
      <right style="thick">
        <color indexed="64"/>
      </right>
      <top style="thin">
        <color indexed="64"/>
      </top>
      <bottom/>
      <diagonal/>
    </border>
    <border>
      <left style="thin">
        <color indexed="64"/>
      </left>
      <right style="thin">
        <color indexed="64"/>
      </right>
      <top/>
      <bottom style="thick">
        <color indexed="64"/>
      </bottom>
      <diagonal/>
    </border>
    <border>
      <left style="medium">
        <color indexed="64"/>
      </left>
      <right style="thick">
        <color indexed="64"/>
      </right>
      <top/>
      <bottom style="thick">
        <color indexed="64"/>
      </bottom>
      <diagonal/>
    </border>
    <border>
      <left style="thin">
        <color auto="1"/>
      </left>
      <right/>
      <top style="thin">
        <color auto="1"/>
      </top>
      <bottom style="thin">
        <color auto="1"/>
      </bottom>
      <diagonal/>
    </border>
    <border>
      <left style="thin">
        <color indexed="64"/>
      </left>
      <right/>
      <top/>
      <bottom style="thin">
        <color indexed="64"/>
      </bottom>
      <diagonal/>
    </border>
    <border>
      <left style="thick">
        <color indexed="64"/>
      </left>
      <right/>
      <top style="thin">
        <color indexed="64"/>
      </top>
      <bottom/>
      <diagonal/>
    </border>
    <border>
      <left style="thin">
        <color indexed="64"/>
      </left>
      <right/>
      <top style="thin">
        <color indexed="64"/>
      </top>
      <bottom/>
      <diagonal/>
    </border>
    <border>
      <left style="thick">
        <color indexed="64"/>
      </left>
      <right style="thick">
        <color indexed="64"/>
      </right>
      <top style="thick">
        <color indexed="64"/>
      </top>
      <bottom/>
      <diagonal/>
    </border>
    <border>
      <left style="thin">
        <color indexed="64"/>
      </left>
      <right style="medium">
        <color indexed="64"/>
      </right>
      <top/>
      <bottom style="thin">
        <color indexed="64"/>
      </bottom>
      <diagonal/>
    </border>
    <border>
      <left style="thick">
        <color indexed="64"/>
      </left>
      <right style="thick">
        <color indexed="64"/>
      </right>
      <top/>
      <bottom/>
      <diagonal/>
    </border>
    <border>
      <left style="thick">
        <color indexed="64"/>
      </left>
      <right style="thick">
        <color indexed="64"/>
      </right>
      <top/>
      <bottom style="thick">
        <color indexed="64"/>
      </bottom>
      <diagonal/>
    </border>
    <border>
      <left style="thin">
        <color indexed="64"/>
      </left>
      <right style="medium">
        <color indexed="64"/>
      </right>
      <top style="thin">
        <color indexed="64"/>
      </top>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medium">
        <color indexed="64"/>
      </right>
      <top style="thick">
        <color indexed="64"/>
      </top>
      <bottom/>
      <diagonal/>
    </border>
    <border>
      <left style="medium">
        <color indexed="64"/>
      </left>
      <right style="thick">
        <color indexed="64"/>
      </right>
      <top style="thick">
        <color indexed="64"/>
      </top>
      <bottom style="thin">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medium">
        <color indexed="64"/>
      </left>
      <right style="thick">
        <color indexed="64"/>
      </right>
      <top style="thin">
        <color indexed="64"/>
      </top>
      <bottom style="thick">
        <color indexed="64"/>
      </bottom>
      <diagonal/>
    </border>
    <border>
      <left/>
      <right style="medium">
        <color indexed="64"/>
      </right>
      <top style="thick">
        <color indexed="64"/>
      </top>
      <bottom style="thick">
        <color indexed="64"/>
      </bottom>
      <diagonal/>
    </border>
    <border>
      <left style="thick">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s>
  <cellStyleXfs count="1">
    <xf numFmtId="0" fontId="0" fillId="0" borderId="0"/>
  </cellStyleXfs>
  <cellXfs count="225">
    <xf numFmtId="0" fontId="0" fillId="0" borderId="0" xfId="0"/>
    <xf numFmtId="0" fontId="0" fillId="0" borderId="0" xfId="0" applyFont="1" applyProtection="1">
      <protection locked="0"/>
    </xf>
    <xf numFmtId="0" fontId="5" fillId="0" borderId="0" xfId="0" applyFont="1" applyProtection="1">
      <protection locked="0"/>
    </xf>
    <xf numFmtId="0" fontId="8" fillId="0" borderId="4" xfId="0" applyFont="1" applyFill="1" applyBorder="1" applyAlignment="1" applyProtection="1">
      <alignment horizontal="right"/>
    </xf>
    <xf numFmtId="0" fontId="10" fillId="0" borderId="0" xfId="0" applyFont="1" applyProtection="1">
      <protection locked="0"/>
    </xf>
    <xf numFmtId="0" fontId="8" fillId="0" borderId="4" xfId="0" applyFont="1" applyBorder="1" applyAlignment="1" applyProtection="1">
      <alignment horizontal="right"/>
    </xf>
    <xf numFmtId="0" fontId="8" fillId="2" borderId="4" xfId="0" applyFont="1" applyFill="1" applyBorder="1" applyAlignment="1" applyProtection="1">
      <alignment horizontal="right"/>
    </xf>
    <xf numFmtId="14" fontId="12" fillId="3" borderId="4" xfId="0" applyNumberFormat="1" applyFont="1" applyFill="1" applyBorder="1" applyAlignment="1" applyProtection="1">
      <alignment horizontal="left"/>
      <protection locked="0"/>
    </xf>
    <xf numFmtId="14" fontId="12" fillId="3" borderId="0" xfId="0" applyNumberFormat="1" applyFont="1" applyFill="1" applyBorder="1" applyAlignment="1" applyProtection="1">
      <alignment horizontal="left"/>
      <protection locked="0"/>
    </xf>
    <xf numFmtId="1" fontId="12" fillId="3" borderId="0" xfId="0" applyNumberFormat="1" applyFont="1" applyFill="1" applyBorder="1" applyAlignment="1" applyProtection="1">
      <alignment horizontal="center"/>
      <protection locked="0"/>
    </xf>
    <xf numFmtId="164" fontId="12" fillId="3" borderId="0" xfId="0" applyNumberFormat="1" applyFont="1" applyFill="1" applyBorder="1" applyAlignment="1" applyProtection="1">
      <alignment horizontal="center"/>
      <protection locked="0"/>
    </xf>
    <xf numFmtId="0" fontId="0" fillId="3" borderId="5" xfId="0" applyFont="1" applyFill="1" applyBorder="1" applyProtection="1">
      <protection locked="0"/>
    </xf>
    <xf numFmtId="0" fontId="13" fillId="0" borderId="4" xfId="0" applyFont="1" applyBorder="1" applyAlignment="1" applyProtection="1">
      <alignment horizontal="left"/>
    </xf>
    <xf numFmtId="0" fontId="9" fillId="0" borderId="0" xfId="0" applyFont="1" applyBorder="1" applyAlignment="1" applyProtection="1">
      <alignment horizontal="center"/>
    </xf>
    <xf numFmtId="0" fontId="10" fillId="0" borderId="0" xfId="0" applyFont="1" applyBorder="1" applyProtection="1"/>
    <xf numFmtId="0" fontId="9" fillId="0" borderId="5" xfId="0" applyFont="1" applyFill="1" applyBorder="1" applyAlignment="1" applyProtection="1">
      <alignment horizontal="center"/>
    </xf>
    <xf numFmtId="0" fontId="9" fillId="0" borderId="0" xfId="0" applyFont="1" applyProtection="1">
      <protection locked="0"/>
    </xf>
    <xf numFmtId="14" fontId="12" fillId="3" borderId="4" xfId="0" applyNumberFormat="1" applyFont="1" applyFill="1" applyBorder="1" applyAlignment="1" applyProtection="1">
      <alignment horizontal="left"/>
    </xf>
    <xf numFmtId="14" fontId="12" fillId="3" borderId="0" xfId="0" applyNumberFormat="1" applyFont="1" applyFill="1" applyBorder="1" applyAlignment="1" applyProtection="1">
      <alignment horizontal="left"/>
    </xf>
    <xf numFmtId="1" fontId="12" fillId="3" borderId="0" xfId="0" applyNumberFormat="1" applyFont="1" applyFill="1" applyBorder="1" applyAlignment="1" applyProtection="1">
      <alignment horizontal="center"/>
    </xf>
    <xf numFmtId="164" fontId="12" fillId="3" borderId="0" xfId="0" applyNumberFormat="1" applyFont="1" applyFill="1" applyBorder="1" applyAlignment="1" applyProtection="1">
      <alignment horizontal="center"/>
    </xf>
    <xf numFmtId="0" fontId="0" fillId="3" borderId="5" xfId="0" applyFont="1" applyFill="1" applyBorder="1" applyProtection="1"/>
    <xf numFmtId="0" fontId="14" fillId="0" borderId="0" xfId="0" applyFont="1" applyProtection="1">
      <protection locked="0"/>
    </xf>
    <xf numFmtId="0" fontId="16" fillId="4" borderId="10" xfId="0" applyFont="1" applyFill="1" applyBorder="1" applyAlignment="1" applyProtection="1"/>
    <xf numFmtId="0" fontId="12" fillId="4" borderId="11" xfId="0" applyFont="1" applyFill="1" applyBorder="1" applyAlignment="1" applyProtection="1"/>
    <xf numFmtId="0" fontId="12" fillId="4" borderId="12" xfId="0" applyFont="1" applyFill="1" applyBorder="1" applyAlignment="1" applyProtection="1"/>
    <xf numFmtId="0" fontId="12" fillId="0" borderId="13" xfId="0" applyFont="1" applyFill="1" applyBorder="1" applyAlignment="1" applyProtection="1">
      <alignment horizontal="left"/>
      <protection locked="0"/>
    </xf>
    <xf numFmtId="0" fontId="12" fillId="0" borderId="14" xfId="0" applyFont="1" applyFill="1" applyBorder="1" applyAlignment="1" applyProtection="1">
      <alignment horizontal="left"/>
      <protection locked="0"/>
    </xf>
    <xf numFmtId="0" fontId="12" fillId="0" borderId="15" xfId="0" applyFont="1" applyFill="1" applyBorder="1" applyAlignment="1" applyProtection="1">
      <alignment horizontal="left"/>
      <protection locked="0"/>
    </xf>
    <xf numFmtId="0" fontId="12" fillId="0" borderId="14" xfId="0" applyFont="1" applyFill="1" applyBorder="1" applyAlignment="1" applyProtection="1">
      <protection locked="0"/>
    </xf>
    <xf numFmtId="0" fontId="12" fillId="0" borderId="15" xfId="0" applyFont="1" applyFill="1" applyBorder="1" applyAlignment="1" applyProtection="1">
      <protection locked="0"/>
    </xf>
    <xf numFmtId="0" fontId="12" fillId="5" borderId="4" xfId="0" applyFont="1" applyFill="1" applyBorder="1" applyAlignment="1" applyProtection="1">
      <alignment horizontal="left"/>
    </xf>
    <xf numFmtId="0" fontId="12" fillId="5" borderId="0" xfId="0" applyFont="1" applyFill="1" applyBorder="1" applyAlignment="1" applyProtection="1">
      <alignment horizontal="left"/>
    </xf>
    <xf numFmtId="0" fontId="12" fillId="5" borderId="0" xfId="0" applyFont="1" applyFill="1" applyBorder="1" applyAlignment="1" applyProtection="1"/>
    <xf numFmtId="0" fontId="12" fillId="5" borderId="5" xfId="0" applyFont="1" applyFill="1" applyBorder="1" applyAlignment="1" applyProtection="1"/>
    <xf numFmtId="0" fontId="17" fillId="0" borderId="4" xfId="0" applyFont="1" applyBorder="1" applyProtection="1"/>
    <xf numFmtId="0" fontId="0" fillId="0" borderId="0" xfId="0" applyFont="1" applyBorder="1" applyProtection="1"/>
    <xf numFmtId="0" fontId="17" fillId="0" borderId="0" xfId="0" applyFont="1" applyBorder="1" applyProtection="1"/>
    <xf numFmtId="0" fontId="12" fillId="0" borderId="0" xfId="0" applyFont="1" applyBorder="1" applyProtection="1"/>
    <xf numFmtId="0" fontId="12" fillId="0" borderId="5" xfId="0" applyFont="1" applyBorder="1" applyProtection="1"/>
    <xf numFmtId="0" fontId="12" fillId="0" borderId="4" xfId="0" applyFont="1" applyBorder="1" applyProtection="1"/>
    <xf numFmtId="0" fontId="17" fillId="0" borderId="13" xfId="0" applyFont="1" applyBorder="1" applyAlignment="1" applyProtection="1">
      <alignment horizontal="left"/>
    </xf>
    <xf numFmtId="0" fontId="17" fillId="0" borderId="14" xfId="0" applyFont="1" applyBorder="1" applyAlignment="1" applyProtection="1">
      <alignment horizontal="left"/>
    </xf>
    <xf numFmtId="0" fontId="17" fillId="0" borderId="16" xfId="0" applyFont="1" applyBorder="1" applyAlignment="1" applyProtection="1">
      <alignment horizontal="center"/>
    </xf>
    <xf numFmtId="14" fontId="12" fillId="6" borderId="4" xfId="0" applyNumberFormat="1" applyFont="1" applyFill="1" applyBorder="1" applyAlignment="1" applyProtection="1">
      <alignment horizontal="left"/>
    </xf>
    <xf numFmtId="14" fontId="12" fillId="6" borderId="0" xfId="0" applyNumberFormat="1" applyFont="1" applyFill="1" applyBorder="1" applyAlignment="1" applyProtection="1">
      <alignment horizontal="left"/>
    </xf>
    <xf numFmtId="1" fontId="12" fillId="6" borderId="0" xfId="0" applyNumberFormat="1" applyFont="1" applyFill="1" applyBorder="1" applyAlignment="1" applyProtection="1">
      <alignment horizontal="center"/>
    </xf>
    <xf numFmtId="164" fontId="12" fillId="6" borderId="0" xfId="0" applyNumberFormat="1" applyFont="1" applyFill="1" applyBorder="1" applyAlignment="1" applyProtection="1">
      <alignment horizontal="center"/>
    </xf>
    <xf numFmtId="0" fontId="0" fillId="6" borderId="5" xfId="0" applyFont="1" applyFill="1" applyBorder="1" applyProtection="1"/>
    <xf numFmtId="0" fontId="12" fillId="0" borderId="13" xfId="0" applyFont="1" applyBorder="1" applyAlignment="1" applyProtection="1">
      <protection locked="0"/>
    </xf>
    <xf numFmtId="0" fontId="12" fillId="0" borderId="14" xfId="0" applyFont="1" applyFill="1" applyBorder="1" applyProtection="1">
      <protection locked="0"/>
    </xf>
    <xf numFmtId="0" fontId="12" fillId="0" borderId="14" xfId="0" applyFont="1" applyBorder="1" applyAlignment="1" applyProtection="1">
      <protection locked="0"/>
    </xf>
    <xf numFmtId="0" fontId="12" fillId="0" borderId="14" xfId="0" applyFont="1" applyBorder="1" applyProtection="1">
      <protection locked="0"/>
    </xf>
    <xf numFmtId="0" fontId="12" fillId="0" borderId="15" xfId="0" applyFont="1" applyBorder="1" applyAlignment="1" applyProtection="1">
      <protection locked="0"/>
    </xf>
    <xf numFmtId="0" fontId="12" fillId="0" borderId="13" xfId="0" applyFont="1" applyFill="1" applyBorder="1" applyProtection="1">
      <protection locked="0"/>
    </xf>
    <xf numFmtId="0" fontId="0" fillId="0" borderId="14" xfId="0" applyFont="1" applyBorder="1" applyProtection="1">
      <protection locked="0"/>
    </xf>
    <xf numFmtId="1" fontId="12" fillId="0" borderId="18" xfId="0" applyNumberFormat="1" applyFont="1" applyBorder="1" applyAlignment="1" applyProtection="1">
      <alignment horizontal="center"/>
    </xf>
    <xf numFmtId="1" fontId="12" fillId="0" borderId="0" xfId="0" applyNumberFormat="1" applyFont="1" applyBorder="1" applyAlignment="1" applyProtection="1">
      <alignment horizontal="center"/>
    </xf>
    <xf numFmtId="0" fontId="15" fillId="0" borderId="1" xfId="0" applyFont="1" applyBorder="1" applyAlignment="1" applyProtection="1">
      <alignment horizontal="left"/>
    </xf>
    <xf numFmtId="0" fontId="1" fillId="0" borderId="3" xfId="0" applyFont="1" applyBorder="1" applyProtection="1"/>
    <xf numFmtId="0" fontId="17" fillId="0" borderId="24" xfId="0" applyFont="1" applyBorder="1" applyAlignment="1" applyProtection="1">
      <alignment horizontal="left" wrapText="1"/>
    </xf>
    <xf numFmtId="0" fontId="17" fillId="0" borderId="25" xfId="0" applyFont="1" applyBorder="1" applyAlignment="1" applyProtection="1">
      <alignment horizontal="left" wrapText="1"/>
    </xf>
    <xf numFmtId="0" fontId="17" fillId="0" borderId="26" xfId="0" applyFont="1" applyBorder="1" applyAlignment="1" applyProtection="1">
      <alignment horizontal="left" wrapText="1"/>
    </xf>
    <xf numFmtId="0" fontId="12" fillId="0" borderId="30" xfId="0" applyFont="1" applyBorder="1" applyAlignment="1" applyProtection="1">
      <alignment horizontal="left"/>
    </xf>
    <xf numFmtId="0" fontId="12" fillId="0" borderId="6" xfId="0" applyFont="1" applyBorder="1" applyProtection="1"/>
    <xf numFmtId="0" fontId="0" fillId="0" borderId="6" xfId="0" applyFont="1" applyBorder="1" applyProtection="1"/>
    <xf numFmtId="0" fontId="12" fillId="0" borderId="32" xfId="0" applyFont="1" applyBorder="1" applyAlignment="1" applyProtection="1">
      <alignment horizontal="left"/>
    </xf>
    <xf numFmtId="0" fontId="12" fillId="0" borderId="4" xfId="0" applyFont="1" applyBorder="1" applyAlignment="1" applyProtection="1">
      <alignment horizontal="left"/>
    </xf>
    <xf numFmtId="0" fontId="16" fillId="0" borderId="21" xfId="0" applyFont="1" applyFill="1" applyBorder="1" applyAlignment="1" applyProtection="1">
      <alignment horizontal="center"/>
    </xf>
    <xf numFmtId="0" fontId="16" fillId="0" borderId="22" xfId="0" applyFont="1" applyFill="1" applyBorder="1" applyAlignment="1" applyProtection="1">
      <alignment horizontal="center"/>
    </xf>
    <xf numFmtId="0" fontId="16" fillId="0" borderId="23" xfId="0" applyFont="1" applyFill="1" applyBorder="1" applyAlignment="1" applyProtection="1">
      <alignment horizontal="center"/>
    </xf>
    <xf numFmtId="0" fontId="0" fillId="0" borderId="0" xfId="0" applyFont="1" applyFill="1" applyProtection="1">
      <protection locked="0"/>
    </xf>
    <xf numFmtId="0" fontId="17" fillId="0" borderId="4" xfId="0" applyFont="1" applyFill="1" applyBorder="1" applyAlignment="1" applyProtection="1">
      <alignment horizontal="left"/>
    </xf>
    <xf numFmtId="0" fontId="12" fillId="0" borderId="0" xfId="0" applyFont="1" applyFill="1" applyBorder="1" applyAlignment="1" applyProtection="1">
      <alignment horizontal="left"/>
    </xf>
    <xf numFmtId="0" fontId="17" fillId="0" borderId="35" xfId="0" applyFont="1" applyFill="1" applyBorder="1" applyAlignment="1" applyProtection="1">
      <alignment horizontal="right"/>
    </xf>
    <xf numFmtId="0" fontId="17" fillId="0" borderId="0" xfId="0" applyFont="1" applyFill="1" applyBorder="1" applyAlignment="1" applyProtection="1">
      <alignment horizontal="right"/>
    </xf>
    <xf numFmtId="0" fontId="17" fillId="0" borderId="7" xfId="0" applyFont="1" applyBorder="1" applyAlignment="1" applyProtection="1">
      <alignment horizontal="right"/>
    </xf>
    <xf numFmtId="0" fontId="17" fillId="0" borderId="4" xfId="0" applyFont="1" applyBorder="1" applyAlignment="1" applyProtection="1">
      <alignment horizontal="right"/>
    </xf>
    <xf numFmtId="0" fontId="24" fillId="0" borderId="0" xfId="0" applyFont="1" applyProtection="1">
      <protection locked="0"/>
    </xf>
    <xf numFmtId="164" fontId="12" fillId="0" borderId="0" xfId="0" applyNumberFormat="1" applyFont="1" applyFill="1" applyBorder="1" applyAlignment="1" applyProtection="1"/>
    <xf numFmtId="0" fontId="17" fillId="0" borderId="30" xfId="0" applyFont="1" applyFill="1" applyBorder="1" applyAlignment="1" applyProtection="1">
      <alignment horizontal="right"/>
    </xf>
    <xf numFmtId="7" fontId="17" fillId="0" borderId="14" xfId="0" applyNumberFormat="1" applyFont="1" applyBorder="1" applyAlignment="1" applyProtection="1">
      <alignment horizontal="right"/>
    </xf>
    <xf numFmtId="0" fontId="17" fillId="0" borderId="14" xfId="0" applyFont="1" applyBorder="1" applyAlignment="1" applyProtection="1">
      <alignment horizontal="right"/>
    </xf>
    <xf numFmtId="0" fontId="17" fillId="0" borderId="40" xfId="0" applyFont="1" applyBorder="1" applyAlignment="1" applyProtection="1">
      <alignment horizontal="right"/>
    </xf>
    <xf numFmtId="0" fontId="23" fillId="0" borderId="32" xfId="0" applyFont="1" applyBorder="1" applyAlignment="1" applyProtection="1">
      <alignment horizontal="right"/>
    </xf>
    <xf numFmtId="0" fontId="23" fillId="0" borderId="42" xfId="0" applyFont="1" applyBorder="1" applyAlignment="1" applyProtection="1">
      <alignment horizontal="right"/>
    </xf>
    <xf numFmtId="0" fontId="17" fillId="0" borderId="24" xfId="0" applyFont="1" applyBorder="1" applyAlignment="1" applyProtection="1">
      <alignment horizontal="right"/>
    </xf>
    <xf numFmtId="0" fontId="17" fillId="0" borderId="25" xfId="0" applyFont="1" applyBorder="1" applyAlignment="1" applyProtection="1">
      <alignment horizontal="right"/>
    </xf>
    <xf numFmtId="0" fontId="1" fillId="0" borderId="45" xfId="0" applyFont="1" applyBorder="1" applyAlignment="1" applyProtection="1">
      <alignment horizontal="right"/>
    </xf>
    <xf numFmtId="0" fontId="12" fillId="0" borderId="13" xfId="0" applyFont="1" applyBorder="1" applyAlignment="1" applyProtection="1">
      <alignment horizontal="right"/>
    </xf>
    <xf numFmtId="0" fontId="5" fillId="0" borderId="53" xfId="0" applyFont="1" applyBorder="1" applyAlignment="1" applyProtection="1">
      <alignment horizontal="right"/>
    </xf>
    <xf numFmtId="0" fontId="26" fillId="0" borderId="0" xfId="0" applyFont="1" applyProtection="1">
      <protection locked="0"/>
    </xf>
    <xf numFmtId="164" fontId="16" fillId="4" borderId="39" xfId="0" applyNumberFormat="1" applyFont="1" applyFill="1" applyBorder="1" applyAlignment="1" applyProtection="1"/>
    <xf numFmtId="0" fontId="12" fillId="0" borderId="0" xfId="0" applyFont="1" applyBorder="1" applyAlignment="1" applyProtection="1">
      <alignment horizontal="left" wrapText="1"/>
    </xf>
    <xf numFmtId="0" fontId="12" fillId="0" borderId="7" xfId="0" applyFont="1" applyBorder="1" applyAlignment="1" applyProtection="1">
      <alignment horizontal="left" wrapText="1"/>
    </xf>
    <xf numFmtId="0" fontId="12" fillId="0" borderId="33" xfId="0" applyFont="1" applyBorder="1" applyAlignment="1" applyProtection="1">
      <alignment horizontal="left" wrapText="1"/>
    </xf>
    <xf numFmtId="0" fontId="23" fillId="0" borderId="36" xfId="0" applyFont="1" applyBorder="1" applyAlignment="1" applyProtection="1">
      <alignment horizontal="left"/>
    </xf>
    <xf numFmtId="165" fontId="17" fillId="0" borderId="34" xfId="0" applyNumberFormat="1" applyFont="1" applyBorder="1" applyAlignment="1" applyProtection="1">
      <alignment horizontal="left"/>
    </xf>
    <xf numFmtId="164" fontId="17" fillId="0" borderId="36" xfId="0" applyNumberFormat="1" applyFont="1" applyBorder="1" applyAlignment="1" applyProtection="1">
      <alignment horizontal="left"/>
    </xf>
    <xf numFmtId="1" fontId="12" fillId="0" borderId="60" xfId="0" applyNumberFormat="1" applyFont="1" applyBorder="1" applyAlignment="1" applyProtection="1">
      <alignment horizontal="center"/>
    </xf>
    <xf numFmtId="165" fontId="12" fillId="8" borderId="59" xfId="0" applyNumberFormat="1" applyFont="1" applyFill="1" applyBorder="1" applyAlignment="1" applyProtection="1">
      <alignment horizontal="left" wrapText="1"/>
      <protection locked="0"/>
    </xf>
    <xf numFmtId="165" fontId="12" fillId="8" borderId="27" xfId="0" applyNumberFormat="1" applyFont="1" applyFill="1" applyBorder="1" applyAlignment="1" applyProtection="1">
      <alignment horizontal="left" wrapText="1"/>
      <protection locked="0"/>
    </xf>
    <xf numFmtId="165" fontId="12" fillId="8" borderId="28" xfId="0" applyNumberFormat="1" applyFont="1" applyFill="1" applyBorder="1" applyAlignment="1" applyProtection="1">
      <alignment horizontal="left" wrapText="1"/>
      <protection locked="0"/>
    </xf>
    <xf numFmtId="165" fontId="12" fillId="8" borderId="29" xfId="0" applyNumberFormat="1" applyFont="1" applyFill="1" applyBorder="1" applyAlignment="1" applyProtection="1">
      <alignment horizontal="left" wrapText="1"/>
      <protection locked="0"/>
    </xf>
    <xf numFmtId="164" fontId="18" fillId="8" borderId="31" xfId="0" applyNumberFormat="1" applyFont="1" applyFill="1" applyBorder="1" applyAlignment="1" applyProtection="1">
      <protection locked="0"/>
    </xf>
    <xf numFmtId="164" fontId="18" fillId="8" borderId="34" xfId="0" applyNumberFormat="1" applyFont="1" applyFill="1" applyBorder="1" applyAlignment="1" applyProtection="1">
      <alignment vertical="center"/>
      <protection locked="0"/>
    </xf>
    <xf numFmtId="0" fontId="12" fillId="8" borderId="14" xfId="0" applyNumberFormat="1" applyFont="1" applyFill="1" applyBorder="1" applyAlignment="1" applyProtection="1">
      <alignment horizontal="right"/>
      <protection locked="0"/>
    </xf>
    <xf numFmtId="0" fontId="12" fillId="8" borderId="38" xfId="0" applyNumberFormat="1" applyFont="1" applyFill="1" applyBorder="1" applyAlignment="1" applyProtection="1">
      <alignment horizontal="right"/>
      <protection locked="0"/>
    </xf>
    <xf numFmtId="164" fontId="18" fillId="8" borderId="36" xfId="0" applyNumberFormat="1" applyFont="1" applyFill="1" applyBorder="1" applyAlignment="1" applyProtection="1">
      <protection locked="0"/>
    </xf>
    <xf numFmtId="164" fontId="12" fillId="8" borderId="14" xfId="0" applyNumberFormat="1" applyFont="1" applyFill="1" applyBorder="1" applyAlignment="1" applyProtection="1">
      <alignment horizontal="right"/>
      <protection locked="0"/>
    </xf>
    <xf numFmtId="164" fontId="12" fillId="8" borderId="41" xfId="0" applyNumberFormat="1" applyFont="1" applyFill="1" applyBorder="1" applyAlignment="1" applyProtection="1">
      <alignment horizontal="right"/>
      <protection locked="0"/>
    </xf>
    <xf numFmtId="164" fontId="12" fillId="8" borderId="40" xfId="0" applyNumberFormat="1" applyFont="1" applyFill="1" applyBorder="1" applyAlignment="1" applyProtection="1">
      <alignment horizontal="right"/>
      <protection locked="0"/>
    </xf>
    <xf numFmtId="164" fontId="12" fillId="8" borderId="28" xfId="0" applyNumberFormat="1" applyFont="1" applyFill="1" applyBorder="1" applyAlignment="1" applyProtection="1">
      <alignment horizontal="right"/>
      <protection locked="0"/>
    </xf>
    <xf numFmtId="164" fontId="12" fillId="8" borderId="43" xfId="0" applyNumberFormat="1" applyFont="1" applyFill="1" applyBorder="1" applyAlignment="1" applyProtection="1">
      <alignment horizontal="right"/>
      <protection locked="0"/>
    </xf>
    <xf numFmtId="0" fontId="0" fillId="8" borderId="14" xfId="0" applyFont="1" applyFill="1" applyBorder="1" applyAlignment="1" applyProtection="1">
      <alignment horizontal="right"/>
      <protection locked="0"/>
    </xf>
    <xf numFmtId="0" fontId="0" fillId="8" borderId="28" xfId="0" applyFont="1" applyFill="1" applyBorder="1" applyAlignment="1" applyProtection="1">
      <alignment horizontal="right"/>
      <protection locked="0"/>
    </xf>
    <xf numFmtId="164" fontId="12" fillId="8" borderId="52" xfId="0" applyNumberFormat="1" applyFont="1" applyFill="1" applyBorder="1" applyAlignment="1" applyProtection="1">
      <protection locked="0"/>
    </xf>
    <xf numFmtId="164" fontId="12" fillId="8" borderId="18" xfId="0" applyNumberFormat="1" applyFont="1" applyFill="1" applyBorder="1" applyAlignment="1" applyProtection="1">
      <protection locked="0"/>
    </xf>
    <xf numFmtId="0" fontId="0" fillId="0" borderId="0" xfId="0" applyProtection="1">
      <protection locked="0"/>
    </xf>
    <xf numFmtId="0" fontId="8" fillId="2" borderId="5" xfId="0" applyFont="1" applyFill="1" applyBorder="1" applyAlignment="1" applyProtection="1">
      <alignment horizontal="center"/>
    </xf>
    <xf numFmtId="14" fontId="12" fillId="0" borderId="4" xfId="0" applyNumberFormat="1" applyFont="1" applyBorder="1" applyAlignment="1" applyProtection="1">
      <alignment horizontal="left"/>
    </xf>
    <xf numFmtId="14" fontId="12" fillId="0" borderId="0" xfId="0" applyNumberFormat="1" applyFont="1" applyBorder="1" applyAlignment="1" applyProtection="1">
      <alignment horizontal="left"/>
    </xf>
    <xf numFmtId="164" fontId="18" fillId="0" borderId="0" xfId="0" applyNumberFormat="1" applyFont="1" applyBorder="1" applyAlignment="1" applyProtection="1">
      <alignment horizontal="center"/>
    </xf>
    <xf numFmtId="164" fontId="18" fillId="0" borderId="5" xfId="0" applyNumberFormat="1" applyFont="1" applyBorder="1" applyAlignment="1" applyProtection="1">
      <alignment horizontal="center"/>
    </xf>
    <xf numFmtId="164" fontId="18" fillId="0" borderId="5" xfId="0" applyNumberFormat="1" applyFont="1" applyFill="1" applyBorder="1" applyAlignment="1" applyProtection="1">
      <alignment vertical="center"/>
    </xf>
    <xf numFmtId="164" fontId="12" fillId="0" borderId="7" xfId="0" applyNumberFormat="1" applyFont="1" applyBorder="1" applyAlignment="1" applyProtection="1"/>
    <xf numFmtId="164" fontId="12" fillId="0" borderId="0" xfId="0" applyNumberFormat="1" applyFont="1" applyBorder="1" applyAlignment="1" applyProtection="1"/>
    <xf numFmtId="164" fontId="5" fillId="0" borderId="57" xfId="0" applyNumberFormat="1" applyFont="1" applyBorder="1" applyAlignment="1" applyProtection="1">
      <alignment vertical="center"/>
    </xf>
    <xf numFmtId="14" fontId="0" fillId="8" borderId="14" xfId="0" applyNumberFormat="1" applyFont="1" applyFill="1" applyBorder="1" applyAlignment="1" applyProtection="1">
      <alignment horizontal="right"/>
      <protection locked="0"/>
    </xf>
    <xf numFmtId="164" fontId="0" fillId="8" borderId="16" xfId="0" applyNumberFormat="1" applyFont="1" applyFill="1" applyBorder="1" applyAlignment="1" applyProtection="1">
      <alignment horizontal="right"/>
      <protection locked="0"/>
    </xf>
    <xf numFmtId="164" fontId="0" fillId="8" borderId="48" xfId="0" applyNumberFormat="1" applyFont="1" applyFill="1" applyBorder="1" applyAlignment="1" applyProtection="1">
      <alignment horizontal="right"/>
      <protection locked="0"/>
    </xf>
    <xf numFmtId="0" fontId="1" fillId="0" borderId="0" xfId="0" applyFont="1"/>
    <xf numFmtId="0" fontId="0" fillId="0" borderId="14" xfId="0" applyBorder="1"/>
    <xf numFmtId="0" fontId="1" fillId="0" borderId="14" xfId="0" applyFont="1" applyBorder="1"/>
    <xf numFmtId="0" fontId="1" fillId="9" borderId="14" xfId="0" applyFont="1" applyFill="1" applyBorder="1"/>
    <xf numFmtId="0" fontId="0" fillId="9" borderId="14" xfId="0" applyFill="1" applyBorder="1" applyAlignment="1">
      <alignment horizontal="center" wrapText="1"/>
    </xf>
    <xf numFmtId="0" fontId="0" fillId="9" borderId="14" xfId="0" applyFill="1" applyBorder="1"/>
    <xf numFmtId="0" fontId="27" fillId="0" borderId="0" xfId="0" applyFont="1" applyAlignment="1">
      <alignment wrapText="1"/>
    </xf>
    <xf numFmtId="0" fontId="0" fillId="0" borderId="14" xfId="0" applyBorder="1" applyAlignment="1">
      <alignment horizontal="center"/>
    </xf>
    <xf numFmtId="0" fontId="0" fillId="0" borderId="14" xfId="0" applyBorder="1" applyAlignment="1">
      <alignment horizontal="center" wrapText="1"/>
    </xf>
    <xf numFmtId="0" fontId="0" fillId="0" borderId="14" xfId="0" applyBorder="1" applyAlignment="1">
      <alignment vertical="center" wrapText="1"/>
    </xf>
    <xf numFmtId="0" fontId="0" fillId="0" borderId="14" xfId="0" applyBorder="1" applyAlignment="1">
      <alignment vertical="center"/>
    </xf>
    <xf numFmtId="0" fontId="0" fillId="9" borderId="14" xfId="0" applyFill="1" applyBorder="1" applyAlignment="1">
      <alignment horizontal="center" vertical="center" wrapText="1"/>
    </xf>
    <xf numFmtId="0" fontId="0" fillId="9" borderId="14" xfId="0" applyFill="1" applyBorder="1" applyAlignment="1">
      <alignment horizontal="center" vertical="center"/>
    </xf>
    <xf numFmtId="6" fontId="0" fillId="0" borderId="14" xfId="0" applyNumberFormat="1" applyBorder="1" applyAlignment="1">
      <alignment horizontal="center"/>
    </xf>
    <xf numFmtId="0" fontId="27" fillId="0" borderId="14" xfId="0" applyFont="1" applyBorder="1" applyAlignment="1">
      <alignment wrapText="1"/>
    </xf>
    <xf numFmtId="0" fontId="4" fillId="0" borderId="4" xfId="0" applyFont="1" applyFill="1" applyBorder="1" applyAlignment="1" applyProtection="1">
      <alignment horizontal="center" wrapText="1"/>
    </xf>
    <xf numFmtId="0" fontId="4" fillId="0" borderId="0" xfId="0" applyFont="1" applyFill="1" applyBorder="1" applyAlignment="1" applyProtection="1">
      <alignment horizontal="center" wrapText="1"/>
    </xf>
    <xf numFmtId="0" fontId="4" fillId="0" borderId="5" xfId="0" applyFont="1" applyFill="1" applyBorder="1" applyAlignment="1" applyProtection="1">
      <alignment horizontal="center" wrapText="1"/>
    </xf>
    <xf numFmtId="0" fontId="3" fillId="0" borderId="1" xfId="0" applyFont="1" applyFill="1" applyBorder="1" applyAlignment="1" applyProtection="1">
      <alignment horizontal="center"/>
    </xf>
    <xf numFmtId="0" fontId="3" fillId="0" borderId="2" xfId="0" applyFont="1" applyFill="1" applyBorder="1" applyAlignment="1" applyProtection="1">
      <alignment horizontal="center"/>
    </xf>
    <xf numFmtId="0" fontId="3" fillId="0" borderId="3" xfId="0" applyFont="1" applyFill="1" applyBorder="1" applyAlignment="1" applyProtection="1">
      <alignment horizontal="center"/>
    </xf>
    <xf numFmtId="0" fontId="4" fillId="0" borderId="4" xfId="0" applyFont="1" applyFill="1" applyBorder="1" applyAlignment="1" applyProtection="1">
      <alignment horizontal="center"/>
    </xf>
    <xf numFmtId="0" fontId="4" fillId="0" borderId="0" xfId="0" applyFont="1" applyFill="1" applyBorder="1" applyAlignment="1" applyProtection="1">
      <alignment horizontal="center"/>
    </xf>
    <xf numFmtId="0" fontId="4" fillId="0" borderId="5" xfId="0" applyFont="1" applyFill="1" applyBorder="1" applyAlignment="1" applyProtection="1">
      <alignment horizontal="center"/>
    </xf>
    <xf numFmtId="0" fontId="18" fillId="0" borderId="17" xfId="0" applyFont="1" applyBorder="1" applyAlignment="1" applyProtection="1">
      <alignment horizontal="center"/>
    </xf>
    <xf numFmtId="0" fontId="18" fillId="0" borderId="9" xfId="0" applyFont="1" applyBorder="1" applyAlignment="1" applyProtection="1">
      <alignment horizontal="center"/>
    </xf>
    <xf numFmtId="0" fontId="7" fillId="0" borderId="4" xfId="0" applyFont="1" applyFill="1" applyBorder="1" applyAlignment="1" applyProtection="1">
      <alignment horizontal="left" wrapText="1"/>
    </xf>
    <xf numFmtId="0" fontId="7" fillId="0" borderId="0" xfId="0" applyFont="1" applyFill="1" applyBorder="1" applyAlignment="1" applyProtection="1">
      <alignment horizontal="left" wrapText="1"/>
    </xf>
    <xf numFmtId="0" fontId="7" fillId="0" borderId="5" xfId="0" applyFont="1" applyFill="1" applyBorder="1" applyAlignment="1" applyProtection="1">
      <alignment horizontal="left" wrapText="1"/>
    </xf>
    <xf numFmtId="0" fontId="9" fillId="8" borderId="6" xfId="0" applyFont="1" applyFill="1" applyBorder="1" applyAlignment="1" applyProtection="1">
      <alignment horizontal="left"/>
      <protection locked="0"/>
    </xf>
    <xf numFmtId="0" fontId="9" fillId="8" borderId="8" xfId="0" applyFont="1" applyFill="1" applyBorder="1" applyAlignment="1" applyProtection="1">
      <alignment horizontal="left"/>
      <protection locked="0"/>
    </xf>
    <xf numFmtId="0" fontId="11" fillId="0" borderId="4" xfId="0" applyFont="1" applyFill="1" applyBorder="1" applyAlignment="1" applyProtection="1">
      <alignment horizontal="left" wrapText="1"/>
    </xf>
    <xf numFmtId="0" fontId="11" fillId="0" borderId="0" xfId="0" applyFont="1" applyFill="1" applyBorder="1" applyAlignment="1" applyProtection="1">
      <alignment horizontal="left" wrapText="1"/>
    </xf>
    <xf numFmtId="0" fontId="11" fillId="0" borderId="5" xfId="0" applyFont="1" applyFill="1" applyBorder="1" applyAlignment="1" applyProtection="1">
      <alignment horizontal="left" wrapText="1"/>
    </xf>
    <xf numFmtId="0" fontId="9" fillId="2" borderId="6" xfId="0" applyFont="1" applyFill="1" applyBorder="1" applyAlignment="1" applyProtection="1">
      <alignment horizontal="center"/>
    </xf>
    <xf numFmtId="0" fontId="9" fillId="8" borderId="7" xfId="0" applyFont="1" applyFill="1" applyBorder="1" applyAlignment="1" applyProtection="1">
      <alignment horizontal="left"/>
      <protection locked="0"/>
    </xf>
    <xf numFmtId="0" fontId="9" fillId="8" borderId="9" xfId="0" applyFont="1" applyFill="1" applyBorder="1" applyAlignment="1" applyProtection="1">
      <alignment horizontal="left"/>
      <protection locked="0"/>
    </xf>
    <xf numFmtId="0" fontId="10" fillId="8" borderId="7" xfId="0" applyFont="1" applyFill="1" applyBorder="1" applyAlignment="1" applyProtection="1">
      <alignment horizontal="left"/>
      <protection locked="0"/>
    </xf>
    <xf numFmtId="0" fontId="10" fillId="8" borderId="9" xfId="0" applyFont="1" applyFill="1" applyBorder="1" applyAlignment="1" applyProtection="1">
      <alignment horizontal="left"/>
      <protection locked="0"/>
    </xf>
    <xf numFmtId="0" fontId="15" fillId="0" borderId="4" xfId="0" applyFont="1" applyBorder="1" applyAlignment="1" applyProtection="1">
      <alignment horizontal="left"/>
    </xf>
    <xf numFmtId="0" fontId="15" fillId="0" borderId="0" xfId="0" applyFont="1" applyBorder="1" applyAlignment="1" applyProtection="1">
      <alignment horizontal="left"/>
    </xf>
    <xf numFmtId="0" fontId="15" fillId="0" borderId="5" xfId="0" applyFont="1" applyBorder="1" applyAlignment="1" applyProtection="1">
      <alignment horizontal="left"/>
    </xf>
    <xf numFmtId="0" fontId="12" fillId="0" borderId="4" xfId="0" applyFont="1" applyBorder="1" applyAlignment="1" applyProtection="1">
      <alignment horizontal="left" wrapText="1"/>
    </xf>
    <xf numFmtId="0" fontId="12" fillId="0" borderId="0" xfId="0" applyFont="1" applyBorder="1" applyAlignment="1" applyProtection="1">
      <alignment horizontal="left" wrapText="1"/>
    </xf>
    <xf numFmtId="0" fontId="12" fillId="0" borderId="5" xfId="0" applyFont="1" applyBorder="1" applyAlignment="1" applyProtection="1">
      <alignment horizontal="left" wrapText="1"/>
    </xf>
    <xf numFmtId="0" fontId="9" fillId="8" borderId="6" xfId="0" applyNumberFormat="1" applyFont="1" applyFill="1" applyBorder="1" applyAlignment="1" applyProtection="1">
      <alignment horizontal="left"/>
      <protection locked="0"/>
    </xf>
    <xf numFmtId="0" fontId="9" fillId="8" borderId="8" xfId="0" applyNumberFormat="1" applyFont="1" applyFill="1" applyBorder="1" applyAlignment="1" applyProtection="1">
      <alignment horizontal="left"/>
      <protection locked="0"/>
    </xf>
    <xf numFmtId="0" fontId="18" fillId="4" borderId="21" xfId="0" applyFont="1" applyFill="1" applyBorder="1" applyAlignment="1" applyProtection="1">
      <alignment horizontal="left"/>
    </xf>
    <xf numFmtId="0" fontId="18" fillId="4" borderId="22" xfId="0" applyFont="1" applyFill="1" applyBorder="1" applyAlignment="1" applyProtection="1">
      <alignment horizontal="left"/>
    </xf>
    <xf numFmtId="0" fontId="18" fillId="4" borderId="23" xfId="0" applyFont="1" applyFill="1" applyBorder="1" applyAlignment="1" applyProtection="1">
      <alignment horizontal="left"/>
    </xf>
    <xf numFmtId="164" fontId="18" fillId="0" borderId="19" xfId="0" applyNumberFormat="1" applyFont="1" applyBorder="1" applyAlignment="1" applyProtection="1">
      <alignment horizontal="center"/>
    </xf>
    <xf numFmtId="164" fontId="18" fillId="0" borderId="20" xfId="0" applyNumberFormat="1" applyFont="1" applyBorder="1" applyAlignment="1" applyProtection="1">
      <alignment horizontal="center"/>
    </xf>
    <xf numFmtId="0" fontId="17" fillId="0" borderId="2" xfId="0" applyFont="1" applyBorder="1" applyAlignment="1" applyProtection="1">
      <alignment horizontal="right"/>
    </xf>
    <xf numFmtId="0" fontId="17" fillId="0" borderId="4" xfId="0" applyFont="1" applyBorder="1" applyAlignment="1" applyProtection="1">
      <alignment horizontal="left" vertical="top" wrapText="1"/>
    </xf>
    <xf numFmtId="0" fontId="12" fillId="0" borderId="0" xfId="0" applyFont="1" applyBorder="1" applyAlignment="1" applyProtection="1">
      <alignment horizontal="left" vertical="top" wrapText="1"/>
    </xf>
    <xf numFmtId="0" fontId="12" fillId="0" borderId="5" xfId="0" applyFont="1" applyBorder="1" applyAlignment="1" applyProtection="1">
      <alignment horizontal="left" vertical="top" wrapText="1"/>
    </xf>
    <xf numFmtId="0" fontId="12" fillId="0" borderId="4" xfId="0" applyFont="1" applyBorder="1" applyAlignment="1" applyProtection="1">
      <alignment horizontal="left" vertical="top" wrapText="1"/>
    </xf>
    <xf numFmtId="0" fontId="12" fillId="0" borderId="32" xfId="0" applyFont="1" applyBorder="1" applyAlignment="1" applyProtection="1">
      <alignment horizontal="left" wrapText="1"/>
    </xf>
    <xf numFmtId="0" fontId="12" fillId="0" borderId="7" xfId="0" applyFont="1" applyBorder="1" applyAlignment="1" applyProtection="1">
      <alignment horizontal="left" wrapText="1"/>
    </xf>
    <xf numFmtId="0" fontId="12" fillId="0" borderId="33" xfId="0" applyFont="1" applyBorder="1" applyAlignment="1" applyProtection="1">
      <alignment horizontal="left" wrapText="1"/>
    </xf>
    <xf numFmtId="0" fontId="21" fillId="7" borderId="21" xfId="0" applyFont="1" applyFill="1" applyBorder="1" applyAlignment="1" applyProtection="1">
      <alignment horizontal="center"/>
    </xf>
    <xf numFmtId="0" fontId="21" fillId="7" borderId="22" xfId="0" applyFont="1" applyFill="1" applyBorder="1" applyAlignment="1" applyProtection="1">
      <alignment horizontal="center"/>
    </xf>
    <xf numFmtId="0" fontId="21" fillId="7" borderId="23" xfId="0" applyFont="1" applyFill="1" applyBorder="1" applyAlignment="1" applyProtection="1">
      <alignment horizontal="center"/>
    </xf>
    <xf numFmtId="0" fontId="18" fillId="4" borderId="21" xfId="0" applyFont="1" applyFill="1" applyBorder="1" applyAlignment="1" applyProtection="1">
      <alignment horizontal="left" wrapText="1"/>
    </xf>
    <xf numFmtId="0" fontId="18" fillId="4" borderId="22" xfId="0" applyFont="1" applyFill="1" applyBorder="1" applyAlignment="1" applyProtection="1">
      <alignment horizontal="left" wrapText="1"/>
    </xf>
    <xf numFmtId="0" fontId="18" fillId="4" borderId="23" xfId="0" applyFont="1" applyFill="1" applyBorder="1" applyAlignment="1" applyProtection="1">
      <alignment horizontal="left" wrapText="1"/>
    </xf>
    <xf numFmtId="164" fontId="5" fillId="0" borderId="37" xfId="0" applyNumberFormat="1" applyFont="1" applyBorder="1" applyAlignment="1" applyProtection="1">
      <alignment horizontal="right" vertical="center"/>
    </xf>
    <xf numFmtId="164" fontId="5" fillId="0" borderId="39" xfId="0" applyNumberFormat="1" applyFont="1" applyBorder="1" applyAlignment="1" applyProtection="1">
      <alignment horizontal="right" vertical="center"/>
    </xf>
    <xf numFmtId="0" fontId="25" fillId="8" borderId="49" xfId="0" applyFont="1" applyFill="1" applyBorder="1" applyAlignment="1" applyProtection="1">
      <alignment horizontal="center"/>
      <protection locked="0"/>
    </xf>
    <xf numFmtId="0" fontId="25" fillId="8" borderId="50" xfId="0" applyFont="1" applyFill="1" applyBorder="1" applyAlignment="1" applyProtection="1">
      <alignment horizontal="center"/>
      <protection locked="0"/>
    </xf>
    <xf numFmtId="0" fontId="25" fillId="8" borderId="51" xfId="0" applyFont="1" applyFill="1" applyBorder="1" applyAlignment="1" applyProtection="1">
      <alignment horizontal="center"/>
      <protection locked="0"/>
    </xf>
    <xf numFmtId="0" fontId="25" fillId="8" borderId="54" xfId="0" applyFont="1" applyFill="1" applyBorder="1" applyAlignment="1" applyProtection="1">
      <alignment horizontal="center"/>
      <protection locked="0"/>
    </xf>
    <xf numFmtId="0" fontId="25" fillId="8" borderId="55" xfId="0" applyFont="1" applyFill="1" applyBorder="1" applyAlignment="1" applyProtection="1">
      <alignment horizontal="center"/>
      <protection locked="0"/>
    </xf>
    <xf numFmtId="0" fontId="25" fillId="8" borderId="56" xfId="0" applyFont="1" applyFill="1" applyBorder="1" applyAlignment="1" applyProtection="1">
      <alignment horizontal="center"/>
      <protection locked="0"/>
    </xf>
    <xf numFmtId="0" fontId="16" fillId="4" borderId="21" xfId="0" applyFont="1" applyFill="1" applyBorder="1" applyAlignment="1" applyProtection="1">
      <alignment horizontal="left"/>
    </xf>
    <xf numFmtId="0" fontId="16" fillId="4" borderId="22" xfId="0" applyFont="1" applyFill="1" applyBorder="1" applyAlignment="1" applyProtection="1">
      <alignment horizontal="left"/>
    </xf>
    <xf numFmtId="0" fontId="16" fillId="4" borderId="58" xfId="0" applyFont="1" applyFill="1" applyBorder="1" applyAlignment="1" applyProtection="1">
      <alignment horizontal="left"/>
    </xf>
    <xf numFmtId="0" fontId="18" fillId="4" borderId="21" xfId="0" applyFont="1" applyFill="1" applyBorder="1" applyAlignment="1" applyProtection="1">
      <alignment wrapText="1"/>
    </xf>
    <xf numFmtId="0" fontId="18" fillId="4" borderId="22" xfId="0" applyFont="1" applyFill="1" applyBorder="1" applyAlignment="1" applyProtection="1">
      <alignment wrapText="1"/>
    </xf>
    <xf numFmtId="0" fontId="18" fillId="4" borderId="23" xfId="0" applyFont="1" applyFill="1" applyBorder="1" applyAlignment="1" applyProtection="1">
      <alignment wrapText="1"/>
    </xf>
    <xf numFmtId="164" fontId="5" fillId="0" borderId="36" xfId="0" applyNumberFormat="1" applyFont="1" applyBorder="1" applyAlignment="1" applyProtection="1">
      <alignment horizontal="right" vertical="center"/>
    </xf>
    <xf numFmtId="0" fontId="18" fillId="4" borderId="21" xfId="0" applyFont="1" applyFill="1" applyBorder="1" applyAlignment="1" applyProtection="1"/>
    <xf numFmtId="0" fontId="18" fillId="4" borderId="22" xfId="0" applyFont="1" applyFill="1" applyBorder="1" applyAlignment="1" applyProtection="1"/>
    <xf numFmtId="0" fontId="18" fillId="4" borderId="23" xfId="0" applyFont="1" applyFill="1" applyBorder="1" applyAlignment="1" applyProtection="1"/>
    <xf numFmtId="0" fontId="1" fillId="0" borderId="44" xfId="0" applyFont="1" applyBorder="1" applyAlignment="1" applyProtection="1">
      <alignment horizontal="center" vertical="center" wrapText="1"/>
    </xf>
    <xf numFmtId="0" fontId="1" fillId="0" borderId="46" xfId="0" applyFont="1" applyBorder="1" applyAlignment="1" applyProtection="1">
      <alignment horizontal="center" vertical="center" wrapText="1"/>
    </xf>
    <xf numFmtId="0" fontId="1" fillId="0" borderId="47" xfId="0" applyFont="1" applyBorder="1" applyAlignment="1" applyProtection="1">
      <alignment horizontal="center" vertical="center" wrapText="1"/>
    </xf>
    <xf numFmtId="164" fontId="18" fillId="0" borderId="37" xfId="0" applyNumberFormat="1" applyFont="1" applyBorder="1" applyAlignment="1" applyProtection="1">
      <alignment horizontal="right" vertical="center"/>
    </xf>
    <xf numFmtId="164" fontId="18" fillId="0" borderId="36" xfId="0" applyNumberFormat="1" applyFont="1" applyBorder="1" applyAlignment="1" applyProtection="1">
      <alignment horizontal="right" vertical="center"/>
    </xf>
    <xf numFmtId="164" fontId="18" fillId="0" borderId="39" xfId="0" applyNumberFormat="1" applyFont="1" applyBorder="1" applyAlignment="1" applyProtection="1">
      <alignment horizontal="right" vertical="center"/>
    </xf>
    <xf numFmtId="0" fontId="1" fillId="9" borderId="14" xfId="0" applyFont="1" applyFill="1" applyBorder="1" applyAlignment="1">
      <alignment horizontal="center" wrapText="1"/>
    </xf>
    <xf numFmtId="0" fontId="1" fillId="0" borderId="14" xfId="0" applyFont="1" applyBorder="1" applyAlignment="1">
      <alignment horizontal="center"/>
    </xf>
    <xf numFmtId="0" fontId="1" fillId="0" borderId="0" xfId="0" applyFont="1" applyAlignment="1">
      <alignment horizontal="center" wrapText="1"/>
    </xf>
    <xf numFmtId="0" fontId="1"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Radio" firstButton="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checked="Checked"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Radio" lockText="1" noThreeD="1"/>
</file>

<file path=xl/ctrlProps/ctrlProp31.xml><?xml version="1.0" encoding="utf-8"?>
<formControlPr xmlns="http://schemas.microsoft.com/office/spreadsheetml/2009/9/main" objectType="Radio" lockText="1" noThreeD="1"/>
</file>

<file path=xl/ctrlProps/ctrlProp32.xml><?xml version="1.0" encoding="utf-8"?>
<formControlPr xmlns="http://schemas.microsoft.com/office/spreadsheetml/2009/9/main" objectType="Radio" lockText="1" noThreeD="1"/>
</file>

<file path=xl/ctrlProps/ctrlProp33.xml><?xml version="1.0" encoding="utf-8"?>
<formControlPr xmlns="http://schemas.microsoft.com/office/spreadsheetml/2009/9/main" objectType="Radio" lockText="1" noThreeD="1"/>
</file>

<file path=xl/ctrlProps/ctrlProp34.xml><?xml version="1.0" encoding="utf-8"?>
<formControlPr xmlns="http://schemas.microsoft.com/office/spreadsheetml/2009/9/main" objectType="Radio" lockText="1" noThreeD="1"/>
</file>

<file path=xl/ctrlProps/ctrlProp35.xml><?xml version="1.0" encoding="utf-8"?>
<formControlPr xmlns="http://schemas.microsoft.com/office/spreadsheetml/2009/9/main" objectType="Radio" lockText="1" noThreeD="1"/>
</file>

<file path=xl/ctrlProps/ctrlProp36.xml><?xml version="1.0" encoding="utf-8"?>
<formControlPr xmlns="http://schemas.microsoft.com/office/spreadsheetml/2009/9/main" objectType="Radio" lockText="1" noThreeD="1"/>
</file>

<file path=xl/ctrlProps/ctrlProp37.xml><?xml version="1.0" encoding="utf-8"?>
<formControlPr xmlns="http://schemas.microsoft.com/office/spreadsheetml/2009/9/main" objectType="Radio" lockText="1" noThreeD="1"/>
</file>

<file path=xl/ctrlProps/ctrlProp38.xml><?xml version="1.0" encoding="utf-8"?>
<formControlPr xmlns="http://schemas.microsoft.com/office/spreadsheetml/2009/9/main" objectType="Radio" lockText="1" noThreeD="1"/>
</file>

<file path=xl/ctrlProps/ctrlProp39.xml><?xml version="1.0" encoding="utf-8"?>
<formControlPr xmlns="http://schemas.microsoft.com/office/spreadsheetml/2009/9/main" objectType="Radio" lockText="1" noThreeD="1"/>
</file>

<file path=xl/ctrlProps/ctrlProp40.xml><?xml version="1.0" encoding="utf-8"?>
<formControlPr xmlns="http://schemas.microsoft.com/office/spreadsheetml/2009/9/main" objectType="Radio" lockText="1" noThreeD="1"/>
</file>

<file path=xl/ctrlProps/ctrlProp41.xml><?xml version="1.0" encoding="utf-8"?>
<formControlPr xmlns="http://schemas.microsoft.com/office/spreadsheetml/2009/9/main" objectType="Radio" lockText="1" noThreeD="1"/>
</file>

<file path=xl/ctrlProps/ctrlProp42.xml><?xml version="1.0" encoding="utf-8"?>
<formControlPr xmlns="http://schemas.microsoft.com/office/spreadsheetml/2009/9/main" objectType="Radio" lockText="1" noThreeD="1"/>
</file>

<file path=xl/ctrlProps/ctrlProp43.xml><?xml version="1.0" encoding="utf-8"?>
<formControlPr xmlns="http://schemas.microsoft.com/office/spreadsheetml/2009/9/main" objectType="Radio" lockText="1" noThreeD="1"/>
</file>

<file path=xl/ctrlProps/ctrlProp44.xml><?xml version="1.0" encoding="utf-8"?>
<formControlPr xmlns="http://schemas.microsoft.com/office/spreadsheetml/2009/9/main" objectType="Radio" lockText="1" noThreeD="1"/>
</file>

<file path=xl/ctrlProps/ctrlProp45.xml><?xml version="1.0" encoding="utf-8"?>
<formControlPr xmlns="http://schemas.microsoft.com/office/spreadsheetml/2009/9/main" objectType="Radio" lockText="1" noThreeD="1"/>
</file>

<file path=xl/ctrlProps/ctrlProp46.xml><?xml version="1.0" encoding="utf-8"?>
<formControlPr xmlns="http://schemas.microsoft.com/office/spreadsheetml/2009/9/main" objectType="Radio" lockText="1" noThreeD="1"/>
</file>

<file path=xl/drawings/drawing1.xml><?xml version="1.0" encoding="utf-8"?>
<xdr:wsDr xmlns:xdr="http://schemas.openxmlformats.org/drawingml/2006/spreadsheetDrawing" xmlns:a="http://schemas.openxmlformats.org/drawingml/2006/main">
  <xdr:twoCellAnchor>
    <xdr:from>
      <xdr:col>0</xdr:col>
      <xdr:colOff>38100</xdr:colOff>
      <xdr:row>0</xdr:row>
      <xdr:rowOff>19050</xdr:rowOff>
    </xdr:from>
    <xdr:to>
      <xdr:col>16</xdr:col>
      <xdr:colOff>247650</xdr:colOff>
      <xdr:row>48</xdr:row>
      <xdr:rowOff>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38100" y="19050"/>
          <a:ext cx="9963150" cy="9124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algn="ctr">
            <a:lnSpc>
              <a:spcPct val="115000"/>
            </a:lnSpc>
            <a:spcBef>
              <a:spcPts val="0"/>
            </a:spcBef>
            <a:spcAft>
              <a:spcPts val="1000"/>
            </a:spcAft>
          </a:pPr>
          <a:r>
            <a:rPr lang="en-US" sz="1200" b="1">
              <a:effectLst/>
              <a:latin typeface="Calibri" panose="020F0502020204030204" pitchFamily="34" charset="0"/>
              <a:ea typeface="Calibri" panose="020F0502020204030204" pitchFamily="34" charset="0"/>
              <a:cs typeface="Times New Roman" panose="02020603050405020304" pitchFamily="18" charset="0"/>
            </a:rPr>
            <a:t>Co-op/Intern Travel &amp; Living Guidelines </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0" marR="0">
            <a:lnSpc>
              <a:spcPct val="115000"/>
            </a:lnSpc>
            <a:spcBef>
              <a:spcPts val="0"/>
            </a:spcBef>
            <a:spcAft>
              <a:spcPts val="1000"/>
            </a:spcAft>
          </a:pPr>
          <a:r>
            <a:rPr lang="en-US" sz="1100">
              <a:effectLst/>
              <a:latin typeface="Calibri" panose="020F0502020204030204" pitchFamily="34" charset="0"/>
              <a:ea typeface="Calibri" panose="020F0502020204030204" pitchFamily="34" charset="0"/>
              <a:cs typeface="Times New Roman" panose="02020603050405020304" pitchFamily="18" charset="0"/>
            </a:rPr>
            <a:t>You may qualify for Travel &amp; Living (T&amp;L) while you are working your full-time rotation at GE (</a:t>
          </a:r>
          <a:r>
            <a:rPr lang="en-US" sz="1100" b="1">
              <a:effectLst/>
              <a:latin typeface="Calibri" panose="020F0502020204030204" pitchFamily="34" charset="0"/>
              <a:ea typeface="Calibri" panose="020F0502020204030204" pitchFamily="34" charset="0"/>
              <a:cs typeface="Times New Roman" panose="02020603050405020304" pitchFamily="18" charset="0"/>
            </a:rPr>
            <a:t>you do NOT qualify for Travel and Living if you are working part-time</a:t>
          </a:r>
          <a:r>
            <a:rPr lang="en-US" sz="1100">
              <a:effectLst/>
              <a:latin typeface="Calibri" panose="020F0502020204030204" pitchFamily="34" charset="0"/>
              <a:ea typeface="Calibri" panose="020F0502020204030204" pitchFamily="34" charset="0"/>
              <a:cs typeface="Times New Roman" panose="02020603050405020304" pitchFamily="18" charset="0"/>
            </a:rPr>
            <a:t>). Your permanent address must be 50 miles or more from your work location and you are paying for monthly living expenses at the work location you are assigned to. </a:t>
          </a:r>
          <a:r>
            <a:rPr lang="en-US" sz="1100" b="1">
              <a:effectLst/>
              <a:latin typeface="Calibri" panose="020F0502020204030204" pitchFamily="34" charset="0"/>
              <a:ea typeface="Calibri" panose="020F0502020204030204" pitchFamily="34" charset="0"/>
              <a:cs typeface="Times New Roman" panose="02020603050405020304" pitchFamily="18" charset="0"/>
            </a:rPr>
            <a:t>Your permanent residence address is the address in the country where you claim to be a resident for purposes of that country’s income tax.</a:t>
          </a:r>
          <a:r>
            <a:rPr lang="en-US" sz="1100">
              <a:effectLst/>
              <a:latin typeface="Calibri" panose="020F0502020204030204" pitchFamily="34" charset="0"/>
              <a:ea typeface="Calibri" panose="020F0502020204030204" pitchFamily="34" charset="0"/>
              <a:cs typeface="Times New Roman" panose="02020603050405020304" pitchFamily="18" charset="0"/>
            </a:rPr>
            <a:t> We accept the most direct route that you drove from MapQuest to calculate your round trip mileage. No costs are covered for any travel companions or side excursions.  Keep receipts for all expenditures (gas, hotel, food, tolls, airfare, etc.) as GE can request them at any time as proof of your travel.</a:t>
          </a:r>
        </a:p>
        <a:p>
          <a:pPr marL="0" marR="0">
            <a:lnSpc>
              <a:spcPct val="115000"/>
            </a:lnSpc>
            <a:spcBef>
              <a:spcPts val="0"/>
            </a:spcBef>
            <a:spcAft>
              <a:spcPts val="1000"/>
            </a:spcAft>
          </a:pPr>
          <a:r>
            <a:rPr lang="en-US" sz="1100" b="1">
              <a:effectLst/>
              <a:latin typeface="Calibri" panose="020F0502020204030204" pitchFamily="34" charset="0"/>
              <a:ea typeface="Calibri" panose="020F0502020204030204" pitchFamily="34" charset="0"/>
              <a:cs typeface="Times New Roman" panose="02020603050405020304" pitchFamily="18" charset="0"/>
            </a:rPr>
            <a:t>To ensure a full reimbursement, please email any questions </a:t>
          </a:r>
          <a:r>
            <a:rPr lang="en-US" sz="1100" b="1" u="sng">
              <a:effectLst/>
              <a:latin typeface="Calibri" panose="020F0502020204030204" pitchFamily="34" charset="0"/>
              <a:ea typeface="Calibri" panose="020F0502020204030204" pitchFamily="34" charset="0"/>
              <a:cs typeface="Times New Roman" panose="02020603050405020304" pitchFamily="18" charset="0"/>
            </a:rPr>
            <a:t>PRIOR TO YOUR TRAVEL</a:t>
          </a:r>
          <a:r>
            <a:rPr lang="en-US" sz="1100" b="1">
              <a:effectLst/>
              <a:latin typeface="Calibri" panose="020F0502020204030204" pitchFamily="34" charset="0"/>
              <a:ea typeface="Calibri" panose="020F0502020204030204" pitchFamily="34" charset="0"/>
              <a:cs typeface="Times New Roman" panose="02020603050405020304" pitchFamily="18" charset="0"/>
            </a:rPr>
            <a:t> to </a:t>
          </a:r>
          <a:r>
            <a:rPr lang="en-US" sz="1100" u="sng">
              <a:solidFill>
                <a:srgbClr val="0000FF"/>
              </a:solidFill>
              <a:effectLst/>
              <a:latin typeface="Calibri" panose="020F0502020204030204" pitchFamily="34" charset="0"/>
              <a:ea typeface="Calibri" panose="020F0502020204030204" pitchFamily="34" charset="0"/>
              <a:cs typeface="Times New Roman" panose="02020603050405020304" pitchFamily="18" charset="0"/>
              <a:hlinkClick xmlns:r="http://schemas.openxmlformats.org/officeDocument/2006/relationships" r:id=""/>
            </a:rPr>
            <a:t>Aviation.CoopTLforms@ge.com</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0" marR="0">
            <a:lnSpc>
              <a:spcPct val="115000"/>
            </a:lnSpc>
            <a:spcBef>
              <a:spcPts val="0"/>
            </a:spcBef>
            <a:spcAft>
              <a:spcPts val="0"/>
            </a:spcAft>
          </a:pPr>
          <a:r>
            <a:rPr lang="en-US" sz="1100" u="sng">
              <a:effectLst/>
              <a:latin typeface="Calibri" panose="020F0502020204030204" pitchFamily="34" charset="0"/>
              <a:ea typeface="Calibri" panose="020F0502020204030204" pitchFamily="34" charset="0"/>
              <a:cs typeface="Times New Roman" panose="02020603050405020304" pitchFamily="18" charset="0"/>
            </a:rPr>
            <a:t>You must submit ITEMIZED receipts</a:t>
          </a:r>
          <a:r>
            <a:rPr lang="en-US" sz="1100">
              <a:effectLst/>
              <a:latin typeface="Calibri" panose="020F0502020204030204" pitchFamily="34" charset="0"/>
              <a:ea typeface="Calibri" panose="020F0502020204030204" pitchFamily="34" charset="0"/>
              <a:cs typeface="Times New Roman" panose="02020603050405020304" pitchFamily="18" charset="0"/>
            </a:rPr>
            <a:t> (</a:t>
          </a:r>
          <a:r>
            <a:rPr lang="en-US" sz="1000">
              <a:effectLst/>
              <a:latin typeface="Arial" panose="020B0604020202020204" pitchFamily="34" charset="0"/>
              <a:ea typeface="Calibri" panose="020F0502020204030204" pitchFamily="34" charset="0"/>
              <a:cs typeface="Times New Roman" panose="02020603050405020304" pitchFamily="18" charset="0"/>
            </a:rPr>
            <a:t>detail </a:t>
          </a:r>
          <a:br>
            <a:rPr lang="en-US" sz="1000">
              <a:effectLst/>
              <a:latin typeface="Arial" panose="020B0604020202020204" pitchFamily="34" charset="0"/>
              <a:ea typeface="Calibri" panose="020F0502020204030204" pitchFamily="34" charset="0"/>
              <a:cs typeface="Times New Roman" panose="02020603050405020304" pitchFamily="18" charset="0"/>
            </a:rPr>
          </a:br>
          <a:r>
            <a:rPr lang="en-US" sz="1000">
              <a:effectLst/>
              <a:latin typeface="Arial" panose="020B0604020202020204" pitchFamily="34" charset="0"/>
              <a:ea typeface="Calibri" panose="020F0502020204030204" pitchFamily="34" charset="0"/>
              <a:cs typeface="Times New Roman" panose="02020603050405020304" pitchFamily="18" charset="0"/>
            </a:rPr>
            <a:t>of what was purchased</a:t>
          </a:r>
          <a:r>
            <a:rPr lang="en-US" sz="1000">
              <a:solidFill>
                <a:srgbClr val="444444"/>
              </a:solidFill>
              <a:effectLst/>
              <a:latin typeface="Arial" panose="020B0604020202020204" pitchFamily="34" charset="0"/>
              <a:ea typeface="Calibri" panose="020F0502020204030204" pitchFamily="34" charset="0"/>
              <a:cs typeface="Times New Roman" panose="02020603050405020304" pitchFamily="18" charset="0"/>
            </a:rPr>
            <a:t>) </a:t>
          </a:r>
          <a:r>
            <a:rPr lang="en-US" sz="1100">
              <a:effectLst/>
              <a:latin typeface="Calibri" panose="020F0502020204030204" pitchFamily="34" charset="0"/>
              <a:ea typeface="Calibri" panose="020F0502020204030204" pitchFamily="34" charset="0"/>
              <a:cs typeface="Times New Roman" panose="02020603050405020304" pitchFamily="18" charset="0"/>
            </a:rPr>
            <a:t>with the T&amp;L submission.  Your lump sum payment should be direct deposited into your account (if you signed up) within 3 weeks of a correct submission.  If your form is incomplete or missing receipts, this will cause a delay in reimbursement.  </a:t>
          </a:r>
        </a:p>
        <a:p>
          <a:pPr marL="342900" marR="0" lvl="0" indent="-342900">
            <a:lnSpc>
              <a:spcPct val="115000"/>
            </a:lnSpc>
            <a:spcBef>
              <a:spcPts val="0"/>
            </a:spcBef>
            <a:spcAft>
              <a:spcPts val="0"/>
            </a:spcAft>
            <a:buFont typeface="Symbol" panose="05050102010706020507" pitchFamily="18" charset="2"/>
            <a:buChar char=""/>
          </a:pPr>
          <a:r>
            <a:rPr lang="en-US" sz="1100" b="1">
              <a:effectLst/>
              <a:latin typeface="Calibri" panose="020F0502020204030204" pitchFamily="34" charset="0"/>
              <a:ea typeface="Calibri" panose="020F0502020204030204" pitchFamily="34" charset="0"/>
              <a:cs typeface="Times New Roman" panose="02020603050405020304" pitchFamily="18" charset="0"/>
            </a:rPr>
            <a:t>Mileage: </a:t>
          </a:r>
          <a:r>
            <a:rPr lang="en-US" sz="1100">
              <a:effectLst/>
              <a:latin typeface="Calibri" panose="020F0502020204030204" pitchFamily="34" charset="0"/>
              <a:ea typeface="Calibri" panose="020F0502020204030204" pitchFamily="34" charset="0"/>
              <a:cs typeface="Times New Roman" panose="02020603050405020304" pitchFamily="18" charset="0"/>
            </a:rPr>
            <a:t>GE reimburses per mile – not fuel costs. Any travel </a:t>
          </a:r>
          <a:r>
            <a:rPr lang="en-US" sz="1100" b="1">
              <a:effectLst/>
              <a:latin typeface="Calibri" panose="020F0502020204030204" pitchFamily="34" charset="0"/>
              <a:ea typeface="Calibri" panose="020F0502020204030204" pitchFamily="34" charset="0"/>
              <a:cs typeface="Times New Roman" panose="02020603050405020304" pitchFamily="18" charset="0"/>
            </a:rPr>
            <a:t>over 400 miles </a:t>
          </a:r>
          <a:r>
            <a:rPr lang="en-US" sz="1100">
              <a:effectLst/>
              <a:latin typeface="Calibri" panose="020F0502020204030204" pitchFamily="34" charset="0"/>
              <a:ea typeface="Calibri" panose="020F0502020204030204" pitchFamily="34" charset="0"/>
              <a:cs typeface="Times New Roman" panose="02020603050405020304" pitchFamily="18" charset="0"/>
            </a:rPr>
            <a:t>one way requires fuel receipts and a MapQuest map (map must show route traveled – </a:t>
          </a:r>
          <a:r>
            <a:rPr lang="en-US" sz="1100" b="1">
              <a:effectLst/>
              <a:latin typeface="Calibri" panose="020F0502020204030204" pitchFamily="34" charset="0"/>
              <a:ea typeface="Calibri" panose="020F0502020204030204" pitchFamily="34" charset="0"/>
              <a:cs typeface="Times New Roman" panose="02020603050405020304" pitchFamily="18" charset="0"/>
            </a:rPr>
            <a:t>do not include step by step directions</a:t>
          </a:r>
          <a:r>
            <a:rPr lang="en-US" sz="1100">
              <a:effectLst/>
              <a:latin typeface="Calibri" panose="020F0502020204030204" pitchFamily="34" charset="0"/>
              <a:ea typeface="Calibri" panose="020F0502020204030204" pitchFamily="34" charset="0"/>
              <a:cs typeface="Times New Roman" panose="02020603050405020304" pitchFamily="18" charset="0"/>
            </a:rPr>
            <a:t>) for mileage reimbursement. Fuel receipt must show the date and city where purchased. Any travel </a:t>
          </a:r>
          <a:r>
            <a:rPr lang="en-US" sz="1100" b="1">
              <a:effectLst/>
              <a:latin typeface="Calibri" panose="020F0502020204030204" pitchFamily="34" charset="0"/>
              <a:ea typeface="Calibri" panose="020F0502020204030204" pitchFamily="34" charset="0"/>
              <a:cs typeface="Times New Roman" panose="02020603050405020304" pitchFamily="18" charset="0"/>
            </a:rPr>
            <a:t>less than 400 miles </a:t>
          </a:r>
          <a:r>
            <a:rPr lang="en-US" sz="1100">
              <a:effectLst/>
              <a:latin typeface="Calibri" panose="020F0502020204030204" pitchFamily="34" charset="0"/>
              <a:ea typeface="Calibri" panose="020F0502020204030204" pitchFamily="34" charset="0"/>
              <a:cs typeface="Times New Roman" panose="02020603050405020304" pitchFamily="18" charset="0"/>
            </a:rPr>
            <a:t>one way only requires MapQuest map.</a:t>
          </a:r>
        </a:p>
        <a:p>
          <a:pPr marL="742950" marR="0" lvl="1" indent="-285750">
            <a:lnSpc>
              <a:spcPct val="115000"/>
            </a:lnSpc>
            <a:spcBef>
              <a:spcPts val="0"/>
            </a:spcBef>
            <a:spcAft>
              <a:spcPts val="1000"/>
            </a:spcAft>
            <a:buFont typeface="Courier New" panose="02070309020205020404" pitchFamily="49" charset="0"/>
            <a:buChar char="o"/>
          </a:pPr>
          <a:r>
            <a:rPr lang="en-US" sz="1100" b="1">
              <a:effectLst/>
              <a:latin typeface="Calibri" panose="020F0502020204030204" pitchFamily="34" charset="0"/>
              <a:ea typeface="Calibri" panose="020F0502020204030204" pitchFamily="34" charset="0"/>
              <a:cs typeface="Times New Roman" panose="02020603050405020304" pitchFamily="18" charset="0"/>
            </a:rPr>
            <a:t>NOTE: For one-way travel </a:t>
          </a:r>
          <a:r>
            <a:rPr lang="en-US" sz="1100" b="1" u="sng">
              <a:effectLst/>
              <a:latin typeface="Calibri" panose="020F0502020204030204" pitchFamily="34" charset="0"/>
              <a:ea typeface="Calibri" panose="020F0502020204030204" pitchFamily="34" charset="0"/>
              <a:cs typeface="Times New Roman" panose="02020603050405020304" pitchFamily="18" charset="0"/>
            </a:rPr>
            <a:t>under 400 miles</a:t>
          </a:r>
          <a:r>
            <a:rPr lang="en-US" sz="1100" b="1">
              <a:effectLst/>
              <a:latin typeface="Calibri" panose="020F0502020204030204" pitchFamily="34" charset="0"/>
              <a:ea typeface="Calibri" panose="020F0502020204030204" pitchFamily="34" charset="0"/>
              <a:cs typeface="Times New Roman" panose="02020603050405020304" pitchFamily="18" charset="0"/>
            </a:rPr>
            <a:t>, you only need to submit </a:t>
          </a:r>
          <a:r>
            <a:rPr lang="en-US" sz="1100" b="1" u="sng">
              <a:effectLst/>
              <a:latin typeface="Calibri" panose="020F0502020204030204" pitchFamily="34" charset="0"/>
              <a:ea typeface="Calibri" panose="020F0502020204030204" pitchFamily="34" charset="0"/>
              <a:cs typeface="Times New Roman" panose="02020603050405020304" pitchFamily="18" charset="0"/>
            </a:rPr>
            <a:t>one</a:t>
          </a:r>
          <a:r>
            <a:rPr lang="en-US" sz="1100" b="1">
              <a:effectLst/>
              <a:latin typeface="Calibri" panose="020F0502020204030204" pitchFamily="34" charset="0"/>
              <a:ea typeface="Calibri" panose="020F0502020204030204" pitchFamily="34" charset="0"/>
              <a:cs typeface="Times New Roman" panose="02020603050405020304" pitchFamily="18" charset="0"/>
            </a:rPr>
            <a:t> form and will be paid for round trip. However, you may submit a form with your meal receipts for your return travel. If </a:t>
          </a:r>
          <a:r>
            <a:rPr lang="en-US" sz="1100" b="1" u="sng">
              <a:effectLst/>
              <a:latin typeface="Calibri" panose="020F0502020204030204" pitchFamily="34" charset="0"/>
              <a:ea typeface="Calibri" panose="020F0502020204030204" pitchFamily="34" charset="0"/>
              <a:cs typeface="Times New Roman" panose="02020603050405020304" pitchFamily="18" charset="0"/>
            </a:rPr>
            <a:t>over 400 miles one way</a:t>
          </a:r>
          <a:r>
            <a:rPr lang="en-US" sz="1100" b="1">
              <a:effectLst/>
              <a:latin typeface="Calibri" panose="020F0502020204030204" pitchFamily="34" charset="0"/>
              <a:ea typeface="Calibri" panose="020F0502020204030204" pitchFamily="34" charset="0"/>
              <a:cs typeface="Times New Roman" panose="02020603050405020304" pitchFamily="18" charset="0"/>
            </a:rPr>
            <a:t>, you must submit a TnL form to receive reimbursement for your return travel. </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marR="0" lvl="0" indent="-342900">
            <a:lnSpc>
              <a:spcPct val="115000"/>
            </a:lnSpc>
            <a:spcBef>
              <a:spcPts val="0"/>
            </a:spcBef>
            <a:spcAft>
              <a:spcPts val="0"/>
            </a:spcAft>
            <a:buFont typeface="Symbol" panose="05050102010706020507" pitchFamily="18" charset="2"/>
            <a:buChar char=""/>
          </a:pPr>
          <a:r>
            <a:rPr lang="en-US" sz="1100" b="1">
              <a:effectLst/>
              <a:latin typeface="Calibri" panose="020F0502020204030204" pitchFamily="34" charset="0"/>
              <a:ea typeface="Calibri" panose="020F0502020204030204" pitchFamily="34" charset="0"/>
              <a:cs typeface="Calibri" panose="020F0502020204030204" pitchFamily="34" charset="0"/>
            </a:rPr>
            <a:t>Meals:  </a:t>
          </a:r>
          <a:r>
            <a:rPr lang="en-US" sz="1100">
              <a:effectLst/>
              <a:latin typeface="Calibri" panose="020F0502020204030204" pitchFamily="34" charset="0"/>
              <a:ea typeface="Calibri" panose="020F0502020204030204" pitchFamily="34" charset="0"/>
              <a:cs typeface="Calibri" panose="020F0502020204030204" pitchFamily="34" charset="0"/>
            </a:rPr>
            <a:t>Up to $35 total per day for the employee only (no per diem).  Any un-itemized receipt will not be reimbursed.  Alcohol </a:t>
          </a:r>
          <a:r>
            <a:rPr lang="en-US" sz="1100" b="1">
              <a:effectLst/>
              <a:latin typeface="Calibri" panose="020F0502020204030204" pitchFamily="34" charset="0"/>
              <a:ea typeface="Calibri" panose="020F0502020204030204" pitchFamily="34" charset="0"/>
              <a:cs typeface="Calibri" panose="020F0502020204030204" pitchFamily="34" charset="0"/>
            </a:rPr>
            <a:t>will not</a:t>
          </a:r>
          <a:r>
            <a:rPr lang="en-US" sz="1100">
              <a:effectLst/>
              <a:latin typeface="Calibri" panose="020F0502020204030204" pitchFamily="34" charset="0"/>
              <a:ea typeface="Calibri" panose="020F0502020204030204" pitchFamily="34" charset="0"/>
              <a:cs typeface="Calibri" panose="020F0502020204030204" pitchFamily="34" charset="0"/>
            </a:rPr>
            <a:t> be covered under </a:t>
          </a:r>
          <a:r>
            <a:rPr lang="en-US" sz="1100" b="1">
              <a:effectLst/>
              <a:latin typeface="Calibri" panose="020F0502020204030204" pitchFamily="34" charset="0"/>
              <a:ea typeface="Calibri" panose="020F0502020204030204" pitchFamily="34" charset="0"/>
              <a:cs typeface="Calibri" panose="020F0502020204030204" pitchFamily="34" charset="0"/>
            </a:rPr>
            <a:t>any</a:t>
          </a:r>
          <a:r>
            <a:rPr lang="en-US" sz="1100">
              <a:effectLst/>
              <a:latin typeface="Calibri" panose="020F0502020204030204" pitchFamily="34" charset="0"/>
              <a:ea typeface="Calibri" panose="020F0502020204030204" pitchFamily="34" charset="0"/>
              <a:cs typeface="Calibri" panose="020F0502020204030204" pitchFamily="34" charset="0"/>
            </a:rPr>
            <a:t> circumstances.  We do not cover meal costs prior to your travel or once you have arrived at your final destination nor do we reimburse for grocery/retail shopping. </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457200" marR="0">
            <a:lnSpc>
              <a:spcPct val="115000"/>
            </a:lnSpc>
            <a:spcBef>
              <a:spcPts val="0"/>
            </a:spcBef>
            <a:spcAft>
              <a:spcPts val="0"/>
            </a:spcAft>
          </a:pPr>
          <a:r>
            <a:rPr lang="en-US" sz="800" b="1">
              <a:effectLst/>
              <a:latin typeface="Calibri" panose="020F0502020204030204" pitchFamily="34" charset="0"/>
              <a:ea typeface="Calibri" panose="020F0502020204030204" pitchFamily="34" charset="0"/>
              <a:cs typeface="Times New Roman" panose="02020603050405020304" pitchFamily="18" charset="0"/>
            </a:rPr>
            <a:t> </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marR="0" lvl="0" indent="-342900">
            <a:lnSpc>
              <a:spcPct val="115000"/>
            </a:lnSpc>
            <a:spcBef>
              <a:spcPts val="0"/>
            </a:spcBef>
            <a:spcAft>
              <a:spcPts val="0"/>
            </a:spcAft>
            <a:buFont typeface="Symbol" panose="05050102010706020507" pitchFamily="18" charset="2"/>
            <a:buChar char=""/>
          </a:pPr>
          <a:r>
            <a:rPr lang="en-US" sz="1100" b="1">
              <a:effectLst/>
              <a:latin typeface="Calibri" panose="020F0502020204030204" pitchFamily="34" charset="0"/>
              <a:ea typeface="Calibri" panose="020F0502020204030204" pitchFamily="34" charset="0"/>
              <a:cs typeface="Times New Roman" panose="02020603050405020304" pitchFamily="18" charset="0"/>
            </a:rPr>
            <a:t>Hotel:  </a:t>
          </a:r>
          <a:r>
            <a:rPr lang="en-US" sz="1100">
              <a:effectLst/>
              <a:latin typeface="Calibri" panose="020F0502020204030204" pitchFamily="34" charset="0"/>
              <a:ea typeface="Calibri" panose="020F0502020204030204" pitchFamily="34" charset="0"/>
              <a:cs typeface="Times New Roman" panose="02020603050405020304" pitchFamily="18" charset="0"/>
            </a:rPr>
            <a:t>Up to $90 a stay.  You are responsible for any costs over $90.  All receipts must show payment, not a confirmation.  We do not reimburse for hotel points or credits.  You are eligible for one hotel night once you have driven </a:t>
          </a:r>
          <a:r>
            <a:rPr lang="en-US" sz="1100" b="1">
              <a:effectLst/>
              <a:latin typeface="Calibri" panose="020F0502020204030204" pitchFamily="34" charset="0"/>
              <a:ea typeface="Calibri" panose="020F0502020204030204" pitchFamily="34" charset="0"/>
              <a:cs typeface="Times New Roman" panose="02020603050405020304" pitchFamily="18" charset="0"/>
            </a:rPr>
            <a:t>at least 400 miles</a:t>
          </a:r>
          <a:r>
            <a:rPr lang="en-US" sz="1100">
              <a:effectLst/>
              <a:latin typeface="Calibri" panose="020F0502020204030204" pitchFamily="34" charset="0"/>
              <a:ea typeface="Calibri" panose="020F0502020204030204" pitchFamily="34" charset="0"/>
              <a:cs typeface="Times New Roman" panose="02020603050405020304" pitchFamily="18" charset="0"/>
            </a:rPr>
            <a:t>.  We do not reimburse for stays once you have reached your destination.</a:t>
          </a:r>
        </a:p>
        <a:p>
          <a:pPr marL="457200" marR="0">
            <a:lnSpc>
              <a:spcPct val="115000"/>
            </a:lnSpc>
            <a:spcBef>
              <a:spcPts val="0"/>
            </a:spcBef>
            <a:spcAft>
              <a:spcPts val="0"/>
            </a:spcAft>
          </a:pPr>
          <a:r>
            <a:rPr lang="en-US" sz="1100" b="1">
              <a:effectLst/>
              <a:latin typeface="Calibri" panose="020F0502020204030204" pitchFamily="34" charset="0"/>
              <a:ea typeface="Calibri" panose="020F0502020204030204" pitchFamily="34" charset="0"/>
              <a:cs typeface="Times New Roman" panose="02020603050405020304" pitchFamily="18" charset="0"/>
            </a:rPr>
            <a:t> </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marR="0" lvl="0" indent="-342900">
            <a:lnSpc>
              <a:spcPct val="115000"/>
            </a:lnSpc>
            <a:spcBef>
              <a:spcPts val="0"/>
            </a:spcBef>
            <a:spcAft>
              <a:spcPts val="0"/>
            </a:spcAft>
            <a:buFont typeface="Symbol" panose="05050102010706020507" pitchFamily="18" charset="2"/>
            <a:buChar char=""/>
          </a:pPr>
          <a:r>
            <a:rPr lang="en-US" sz="1100" b="1">
              <a:effectLst/>
              <a:latin typeface="Calibri" panose="020F0502020204030204" pitchFamily="34" charset="0"/>
              <a:ea typeface="Calibri" panose="020F0502020204030204" pitchFamily="34" charset="0"/>
              <a:cs typeface="Times New Roman" panose="02020603050405020304" pitchFamily="18" charset="0"/>
            </a:rPr>
            <a:t>Tolls:  </a:t>
          </a:r>
          <a:r>
            <a:rPr lang="en-US" sz="1100">
              <a:effectLst/>
              <a:latin typeface="Calibri" panose="020F0502020204030204" pitchFamily="34" charset="0"/>
              <a:ea typeface="Calibri" panose="020F0502020204030204" pitchFamily="34" charset="0"/>
              <a:cs typeface="Times New Roman" panose="02020603050405020304" pitchFamily="18" charset="0"/>
            </a:rPr>
            <a:t>All receipts must be from the most direct route. An EZ pass statement will also be accepted and must coincide with dates of travel.</a:t>
          </a:r>
        </a:p>
        <a:p>
          <a:pPr marL="0" marR="0">
            <a:lnSpc>
              <a:spcPct val="115000"/>
            </a:lnSpc>
            <a:spcBef>
              <a:spcPts val="0"/>
            </a:spcBef>
            <a:spcAft>
              <a:spcPts val="0"/>
            </a:spcAft>
          </a:pPr>
          <a:r>
            <a:rPr lang="en-US" sz="1100" b="1">
              <a:effectLst/>
              <a:latin typeface="Calibri" panose="020F0502020204030204" pitchFamily="34" charset="0"/>
              <a:ea typeface="Calibri" panose="020F0502020204030204" pitchFamily="34" charset="0"/>
              <a:cs typeface="Times New Roman" panose="02020603050405020304" pitchFamily="18" charset="0"/>
            </a:rPr>
            <a:t> </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marR="0" lvl="0" indent="-342900">
            <a:lnSpc>
              <a:spcPct val="115000"/>
            </a:lnSpc>
            <a:spcBef>
              <a:spcPts val="0"/>
            </a:spcBef>
            <a:spcAft>
              <a:spcPts val="0"/>
            </a:spcAft>
            <a:buFont typeface="Symbol" panose="05050102010706020507" pitchFamily="18" charset="2"/>
            <a:buChar char=""/>
          </a:pPr>
          <a:r>
            <a:rPr lang="en-US" sz="1100" b="1">
              <a:effectLst/>
              <a:latin typeface="Calibri" panose="020F0502020204030204" pitchFamily="34" charset="0"/>
              <a:ea typeface="Calibri" panose="020F0502020204030204" pitchFamily="34" charset="0"/>
              <a:cs typeface="Times New Roman" panose="02020603050405020304" pitchFamily="18" charset="0"/>
            </a:rPr>
            <a:t>Airfare &amp; Baggage:  </a:t>
          </a:r>
          <a:r>
            <a:rPr lang="en-US" sz="1100">
              <a:effectLst/>
              <a:latin typeface="Calibri" panose="020F0502020204030204" pitchFamily="34" charset="0"/>
              <a:ea typeface="Calibri" panose="020F0502020204030204" pitchFamily="34" charset="0"/>
              <a:cs typeface="Times New Roman" panose="02020603050405020304" pitchFamily="18" charset="0"/>
            </a:rPr>
            <a:t>Must be a </a:t>
          </a:r>
          <a:r>
            <a:rPr lang="en-US" sz="1100" u="sng">
              <a:effectLst/>
              <a:latin typeface="Calibri" panose="020F0502020204030204" pitchFamily="34" charset="0"/>
              <a:ea typeface="Calibri" panose="020F0502020204030204" pitchFamily="34" charset="0"/>
              <a:cs typeface="Times New Roman" panose="02020603050405020304" pitchFamily="18" charset="0"/>
            </a:rPr>
            <a:t>round trip</a:t>
          </a:r>
          <a:r>
            <a:rPr lang="en-US" sz="1100">
              <a:effectLst/>
              <a:latin typeface="Calibri" panose="020F0502020204030204" pitchFamily="34" charset="0"/>
              <a:ea typeface="Calibri" panose="020F0502020204030204" pitchFamily="34" charset="0"/>
              <a:cs typeface="Times New Roman" panose="02020603050405020304" pitchFamily="18" charset="0"/>
            </a:rPr>
            <a:t> ticket that is purchased at least two weeks before your start date. </a:t>
          </a:r>
          <a:r>
            <a:rPr lang="en-US" sz="1100" u="none" strike="noStrike">
              <a:solidFill>
                <a:srgbClr val="0000FF"/>
              </a:solidFill>
              <a:effectLst/>
              <a:latin typeface="Calibri" panose="020F0502020204030204" pitchFamily="34" charset="0"/>
              <a:ea typeface="Calibri" panose="020F0502020204030204" pitchFamily="34" charset="0"/>
              <a:cs typeface="Times New Roman" panose="02020603050405020304" pitchFamily="18" charset="0"/>
            </a:rPr>
            <a:t>Airline miles cannot be reimbursed.  </a:t>
          </a:r>
          <a:r>
            <a:rPr lang="en-US" sz="1100">
              <a:effectLst/>
              <a:latin typeface="Calibri" panose="020F0502020204030204" pitchFamily="34" charset="0"/>
              <a:ea typeface="Calibri" panose="020F0502020204030204" pitchFamily="34" charset="0"/>
              <a:cs typeface="Calibri" panose="020F0502020204030204" pitchFamily="34" charset="0"/>
            </a:rPr>
            <a:t>We only reimburse for the employee.  We will </a:t>
          </a:r>
          <a:r>
            <a:rPr lang="en-US" sz="1100">
              <a:effectLst/>
              <a:latin typeface="Calibri" panose="020F0502020204030204" pitchFamily="34" charset="0"/>
              <a:ea typeface="Calibri" panose="020F0502020204030204" pitchFamily="34" charset="0"/>
              <a:cs typeface="Times New Roman" panose="02020603050405020304" pitchFamily="18" charset="0"/>
            </a:rPr>
            <a:t>reimburse for up to two checked bags per trip for the employee and you must provide a paid receipt.  </a:t>
          </a:r>
        </a:p>
        <a:p>
          <a:pPr marL="457200" marR="0">
            <a:lnSpc>
              <a:spcPct val="115000"/>
            </a:lnSpc>
            <a:spcBef>
              <a:spcPts val="0"/>
            </a:spcBef>
            <a:spcAft>
              <a:spcPts val="0"/>
            </a:spcAft>
          </a:pPr>
          <a:r>
            <a:rPr lang="en-US" sz="1100">
              <a:effectLst/>
              <a:latin typeface="Calibri" panose="020F0502020204030204" pitchFamily="34" charset="0"/>
              <a:ea typeface="Calibri" panose="020F0502020204030204" pitchFamily="34" charset="0"/>
              <a:cs typeface="Times New Roman" panose="02020603050405020304" pitchFamily="18" charset="0"/>
            </a:rPr>
            <a:t> </a:t>
          </a:r>
        </a:p>
        <a:p>
          <a:pPr marL="0" marR="0">
            <a:lnSpc>
              <a:spcPct val="115000"/>
            </a:lnSpc>
            <a:spcBef>
              <a:spcPts val="0"/>
            </a:spcBef>
            <a:spcAft>
              <a:spcPts val="1000"/>
            </a:spcAft>
          </a:pPr>
          <a:r>
            <a:rPr lang="en-US" sz="1100">
              <a:effectLst/>
              <a:latin typeface="Calibri" panose="020F0502020204030204" pitchFamily="34" charset="0"/>
              <a:ea typeface="Calibri" panose="020F0502020204030204" pitchFamily="34" charset="0"/>
              <a:cs typeface="Times New Roman" panose="02020603050405020304" pitchFamily="18" charset="0"/>
            </a:rPr>
            <a:t>GE is not responsible for, nor will GE reimburse the employee for troubles/repair of personal automobiles.</a:t>
          </a:r>
        </a:p>
        <a:p>
          <a:pPr marL="0" marR="0">
            <a:lnSpc>
              <a:spcPct val="115000"/>
            </a:lnSpc>
            <a:spcBef>
              <a:spcPts val="0"/>
            </a:spcBef>
            <a:spcAft>
              <a:spcPts val="1000"/>
            </a:spcAft>
          </a:pPr>
          <a:r>
            <a:rPr lang="en-US" sz="1100">
              <a:effectLst/>
              <a:latin typeface="Calibri" panose="020F0502020204030204" pitchFamily="34" charset="0"/>
              <a:ea typeface="Calibri" panose="020F0502020204030204" pitchFamily="34" charset="0"/>
              <a:cs typeface="Times New Roman" panose="02020603050405020304" pitchFamily="18" charset="0"/>
            </a:rPr>
            <a:t>GE will not cover any costs associated with side trips and/or excursions during your travel.  No exceptions.</a:t>
          </a:r>
        </a:p>
        <a:p>
          <a:pPr marL="0" marR="0">
            <a:lnSpc>
              <a:spcPct val="115000"/>
            </a:lnSpc>
            <a:spcBef>
              <a:spcPts val="0"/>
            </a:spcBef>
            <a:spcAft>
              <a:spcPts val="1000"/>
            </a:spcAft>
          </a:pPr>
          <a:r>
            <a:rPr lang="en-US" sz="1100">
              <a:effectLst/>
              <a:latin typeface="Calibri" panose="020F0502020204030204" pitchFamily="34" charset="0"/>
              <a:ea typeface="Calibri" panose="020F0502020204030204" pitchFamily="34" charset="0"/>
              <a:cs typeface="Times New Roman" panose="02020603050405020304" pitchFamily="18" charset="0"/>
            </a:rPr>
            <a:t>GE does not cover expenses associated with shipping of items or moving vehicles including but not limited to U-Haul trucks.</a:t>
          </a:r>
        </a:p>
        <a:p>
          <a:pPr marL="0" marR="0">
            <a:lnSpc>
              <a:spcPct val="115000"/>
            </a:lnSpc>
            <a:spcBef>
              <a:spcPts val="0"/>
            </a:spcBef>
            <a:spcAft>
              <a:spcPts val="1000"/>
            </a:spcAft>
          </a:pPr>
          <a:r>
            <a:rPr lang="en-US" sz="1100">
              <a:effectLst/>
              <a:latin typeface="Calibri" panose="020F0502020204030204" pitchFamily="34" charset="0"/>
              <a:ea typeface="Calibri" panose="020F0502020204030204" pitchFamily="34" charset="0"/>
              <a:cs typeface="Times New Roman" panose="02020603050405020304" pitchFamily="18" charset="0"/>
            </a:rPr>
            <a:t>GE does not reimburse for ANY household items or groceries.   </a:t>
          </a:r>
        </a:p>
        <a:p>
          <a:pPr marL="0" marR="0">
            <a:lnSpc>
              <a:spcPct val="115000"/>
            </a:lnSpc>
            <a:spcBef>
              <a:spcPts val="0"/>
            </a:spcBef>
            <a:spcAft>
              <a:spcPts val="1000"/>
            </a:spcAft>
          </a:pPr>
          <a:r>
            <a:rPr lang="en-US" sz="1100">
              <a:effectLst/>
              <a:latin typeface="Calibri" panose="020F0502020204030204" pitchFamily="34" charset="0"/>
              <a:ea typeface="Calibri" panose="020F0502020204030204" pitchFamily="34" charset="0"/>
              <a:cs typeface="Times New Roman" panose="02020603050405020304" pitchFamily="18" charset="0"/>
            </a:rPr>
            <a:t>GE only reimburses for airfare within the US, including Puerto Rico.  GE does not reimburse for airline miles.</a:t>
          </a:r>
        </a:p>
        <a:p>
          <a:pPr marL="0" marR="0">
            <a:lnSpc>
              <a:spcPct val="115000"/>
            </a:lnSpc>
            <a:spcBef>
              <a:spcPts val="0"/>
            </a:spcBef>
            <a:spcAft>
              <a:spcPts val="1000"/>
            </a:spcAft>
          </a:pPr>
          <a:r>
            <a:rPr lang="en-US" sz="1100">
              <a:effectLst/>
              <a:latin typeface="Calibri" panose="020F0502020204030204" pitchFamily="34" charset="0"/>
              <a:ea typeface="Calibri" panose="020F0502020204030204" pitchFamily="34" charset="0"/>
              <a:cs typeface="Times New Roman" panose="02020603050405020304" pitchFamily="18" charset="0"/>
            </a:rPr>
            <a:t>GE can request additional receipts for proof of travel, so please keep receipts for all of your expenditures (gas, hotel, food, tolls, airfare, etc).  </a:t>
          </a:r>
        </a:p>
        <a:p>
          <a:pPr marL="0" marR="0">
            <a:lnSpc>
              <a:spcPct val="115000"/>
            </a:lnSpc>
            <a:spcBef>
              <a:spcPts val="0"/>
            </a:spcBef>
            <a:spcAft>
              <a:spcPts val="1000"/>
            </a:spcAft>
          </a:pPr>
          <a:r>
            <a:rPr lang="en-US" sz="1100">
              <a:effectLst/>
              <a:latin typeface="Calibri" panose="020F0502020204030204" pitchFamily="34" charset="0"/>
              <a:ea typeface="Calibri" panose="020F0502020204030204" pitchFamily="34" charset="0"/>
              <a:cs typeface="Times New Roman" panose="02020603050405020304" pitchFamily="18" charset="0"/>
            </a:rPr>
            <a:t>If you willingly provide false information, it is in direct violation of the GE Integrity Policy and you are placing your internship in jeopardy.</a:t>
          </a:r>
        </a:p>
        <a:p>
          <a:pPr marL="0" marR="0" algn="ctr">
            <a:lnSpc>
              <a:spcPct val="115000"/>
            </a:lnSpc>
            <a:spcBef>
              <a:spcPts val="0"/>
            </a:spcBef>
            <a:spcAft>
              <a:spcPts val="1000"/>
            </a:spcAft>
          </a:pPr>
          <a:r>
            <a:rPr lang="en-US" sz="1100" b="1">
              <a:effectLst/>
              <a:latin typeface="Calibri" panose="020F0502020204030204" pitchFamily="34" charset="0"/>
              <a:ea typeface="Calibri" panose="020F0502020204030204" pitchFamily="34" charset="0"/>
              <a:cs typeface="Times New Roman" panose="02020603050405020304" pitchFamily="18" charset="0"/>
            </a:rPr>
            <a:t> </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0" marR="0" algn="ctr">
            <a:lnSpc>
              <a:spcPct val="115000"/>
            </a:lnSpc>
            <a:spcBef>
              <a:spcPts val="0"/>
            </a:spcBef>
            <a:spcAft>
              <a:spcPts val="1000"/>
            </a:spcAft>
          </a:pPr>
          <a:r>
            <a:rPr lang="en-US" sz="1100" b="1">
              <a:effectLst/>
              <a:latin typeface="Calibri" panose="020F0502020204030204" pitchFamily="34" charset="0"/>
              <a:ea typeface="Calibri" panose="020F0502020204030204" pitchFamily="34" charset="0"/>
              <a:cs typeface="Times New Roman" panose="02020603050405020304" pitchFamily="18" charset="0"/>
            </a:rPr>
            <a:t>Anything not included in the above guidelines will not be reimbursed without prior EID Program Manager approval.</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0" marR="0">
            <a:lnSpc>
              <a:spcPct val="115000"/>
            </a:lnSpc>
            <a:spcBef>
              <a:spcPts val="0"/>
            </a:spcBef>
            <a:spcAft>
              <a:spcPts val="0"/>
            </a:spcAft>
          </a:pPr>
          <a:r>
            <a:rPr lang="en-US" sz="900">
              <a:solidFill>
                <a:srgbClr val="000000"/>
              </a:solidFill>
              <a:effectLst/>
              <a:latin typeface="GE Inspira" panose="020F0603030400020203" pitchFamily="34" charset="0"/>
              <a:ea typeface="Times New Roman" panose="02020603050405020304" pitchFamily="18" charset="0"/>
              <a:cs typeface="Arial" panose="020B0604020202020204" pitchFamily="34" charset="0"/>
            </a:rPr>
            <a:t> </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0" marR="0">
            <a:lnSpc>
              <a:spcPct val="115000"/>
            </a:lnSpc>
            <a:spcBef>
              <a:spcPts val="0"/>
            </a:spcBef>
            <a:spcAft>
              <a:spcPts val="0"/>
            </a:spcAft>
          </a:pPr>
          <a:r>
            <a:rPr lang="en-US" sz="900">
              <a:solidFill>
                <a:srgbClr val="000000"/>
              </a:solidFill>
              <a:effectLst/>
              <a:latin typeface="GE Inspira" panose="020F0603030400020203" pitchFamily="34" charset="0"/>
              <a:ea typeface="Times New Roman" panose="02020603050405020304" pitchFamily="18" charset="0"/>
              <a:cs typeface="Arial" panose="020B0604020202020204" pitchFamily="34" charset="0"/>
            </a:rPr>
            <a:t>**GE reserves the right to change this information as necessary and without prior notice. This document does not act as a contractual agreement.**</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126749</xdr:colOff>
      <xdr:row>84</xdr:row>
      <xdr:rowOff>0</xdr:rowOff>
    </xdr:from>
    <xdr:to>
      <xdr:col>3</xdr:col>
      <xdr:colOff>199176</xdr:colOff>
      <xdr:row>84</xdr:row>
      <xdr:rowOff>190501</xdr:rowOff>
    </xdr:to>
    <xdr:sp macro="" textlink="">
      <xdr:nvSpPr>
        <xdr:cNvPr id="2" name="Text Box 17">
          <a:extLst>
            <a:ext uri="{FF2B5EF4-FFF2-40B4-BE49-F238E27FC236}">
              <a16:creationId xmlns:a16="http://schemas.microsoft.com/office/drawing/2014/main" id="{00000000-0008-0000-0100-000002000000}"/>
            </a:ext>
          </a:extLst>
        </xdr:cNvPr>
        <xdr:cNvSpPr txBox="1">
          <a:spLocks noChangeArrowheads="1"/>
        </xdr:cNvSpPr>
      </xdr:nvSpPr>
      <xdr:spPr bwMode="auto">
        <a:xfrm>
          <a:off x="4060574" y="18983325"/>
          <a:ext cx="72427" cy="190501"/>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72428</xdr:colOff>
      <xdr:row>57</xdr:row>
      <xdr:rowOff>0</xdr:rowOff>
    </xdr:from>
    <xdr:to>
      <xdr:col>1</xdr:col>
      <xdr:colOff>253497</xdr:colOff>
      <xdr:row>57</xdr:row>
      <xdr:rowOff>0</xdr:rowOff>
    </xdr:to>
    <xdr:sp macro="" textlink="">
      <xdr:nvSpPr>
        <xdr:cNvPr id="3" name="Text Box 64">
          <a:extLst>
            <a:ext uri="{FF2B5EF4-FFF2-40B4-BE49-F238E27FC236}">
              <a16:creationId xmlns:a16="http://schemas.microsoft.com/office/drawing/2014/main" id="{00000000-0008-0000-0100-000003000000}"/>
            </a:ext>
          </a:extLst>
        </xdr:cNvPr>
        <xdr:cNvSpPr txBox="1">
          <a:spLocks noChangeArrowheads="1"/>
        </xdr:cNvSpPr>
      </xdr:nvSpPr>
      <xdr:spPr bwMode="auto">
        <a:xfrm>
          <a:off x="72428" y="11801475"/>
          <a:ext cx="1533619" cy="0"/>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oneCellAnchor>
    <xdr:from>
      <xdr:col>3</xdr:col>
      <xdr:colOff>126749</xdr:colOff>
      <xdr:row>81</xdr:row>
      <xdr:rowOff>172016</xdr:rowOff>
    </xdr:from>
    <xdr:ext cx="72427" cy="200026"/>
    <xdr:sp macro="" textlink="">
      <xdr:nvSpPr>
        <xdr:cNvPr id="4" name="Text Box 17">
          <a:extLst>
            <a:ext uri="{FF2B5EF4-FFF2-40B4-BE49-F238E27FC236}">
              <a16:creationId xmlns:a16="http://schemas.microsoft.com/office/drawing/2014/main" id="{00000000-0008-0000-0100-000004000000}"/>
            </a:ext>
          </a:extLst>
        </xdr:cNvPr>
        <xdr:cNvSpPr txBox="1">
          <a:spLocks noChangeArrowheads="1"/>
        </xdr:cNvSpPr>
      </xdr:nvSpPr>
      <xdr:spPr bwMode="auto">
        <a:xfrm>
          <a:off x="4060574" y="18412391"/>
          <a:ext cx="72427" cy="20002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oneCellAnchor>
  <xdr:oneCellAnchor>
    <xdr:from>
      <xdr:col>3</xdr:col>
      <xdr:colOff>126749</xdr:colOff>
      <xdr:row>83</xdr:row>
      <xdr:rowOff>172016</xdr:rowOff>
    </xdr:from>
    <xdr:ext cx="72427" cy="200026"/>
    <xdr:sp macro="" textlink="">
      <xdr:nvSpPr>
        <xdr:cNvPr id="5" name="Text Box 17">
          <a:extLst>
            <a:ext uri="{FF2B5EF4-FFF2-40B4-BE49-F238E27FC236}">
              <a16:creationId xmlns:a16="http://schemas.microsoft.com/office/drawing/2014/main" id="{00000000-0008-0000-0100-000005000000}"/>
            </a:ext>
          </a:extLst>
        </xdr:cNvPr>
        <xdr:cNvSpPr txBox="1">
          <a:spLocks noChangeArrowheads="1"/>
        </xdr:cNvSpPr>
      </xdr:nvSpPr>
      <xdr:spPr bwMode="auto">
        <a:xfrm>
          <a:off x="4060574" y="18907691"/>
          <a:ext cx="72427" cy="20002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oneCellAnchor>
  <mc:AlternateContent xmlns:mc="http://schemas.openxmlformats.org/markup-compatibility/2006">
    <mc:Choice xmlns:a14="http://schemas.microsoft.com/office/drawing/2010/main" Requires="a14">
      <xdr:twoCellAnchor editAs="oneCell">
        <xdr:from>
          <xdr:col>1</xdr:col>
          <xdr:colOff>106680</xdr:colOff>
          <xdr:row>24</xdr:row>
          <xdr:rowOff>30480</xdr:rowOff>
        </xdr:from>
        <xdr:to>
          <xdr:col>1</xdr:col>
          <xdr:colOff>1211580</xdr:colOff>
          <xdr:row>25</xdr:row>
          <xdr:rowOff>30480</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Asheville, NC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106680</xdr:colOff>
          <xdr:row>24</xdr:row>
          <xdr:rowOff>11430</xdr:rowOff>
        </xdr:from>
        <xdr:to>
          <xdr:col>2</xdr:col>
          <xdr:colOff>1200150</xdr:colOff>
          <xdr:row>25</xdr:row>
          <xdr:rowOff>30480</xdr:rowOff>
        </xdr:to>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Auburn, 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xdr:colOff>
          <xdr:row>24</xdr:row>
          <xdr:rowOff>30480</xdr:rowOff>
        </xdr:from>
        <xdr:to>
          <xdr:col>3</xdr:col>
          <xdr:colOff>1123950</xdr:colOff>
          <xdr:row>25</xdr:row>
          <xdr:rowOff>30480</xdr:rowOff>
        </xdr:to>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Austin, TX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106680</xdr:colOff>
          <xdr:row>23</xdr:row>
          <xdr:rowOff>278130</xdr:rowOff>
        </xdr:from>
        <xdr:to>
          <xdr:col>5</xdr:col>
          <xdr:colOff>49530</xdr:colOff>
          <xdr:row>25</xdr:row>
          <xdr:rowOff>30480</xdr:rowOff>
        </xdr:to>
        <xdr:sp macro="" textlink="">
          <xdr:nvSpPr>
            <xdr:cNvPr id="1029" name="Option 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Baltimore, MD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25</xdr:row>
          <xdr:rowOff>19050</xdr:rowOff>
        </xdr:from>
        <xdr:to>
          <xdr:col>0</xdr:col>
          <xdr:colOff>1238250</xdr:colOff>
          <xdr:row>26</xdr:row>
          <xdr:rowOff>38100</xdr:rowOff>
        </xdr:to>
        <xdr:sp macro="" textlink="">
          <xdr:nvSpPr>
            <xdr:cNvPr id="1030" name="Option 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Batesville, 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106680</xdr:colOff>
          <xdr:row>25</xdr:row>
          <xdr:rowOff>0</xdr:rowOff>
        </xdr:from>
        <xdr:to>
          <xdr:col>1</xdr:col>
          <xdr:colOff>1238250</xdr:colOff>
          <xdr:row>26</xdr:row>
          <xdr:rowOff>30480</xdr:rowOff>
        </xdr:to>
        <xdr:sp macro="" textlink="">
          <xdr:nvSpPr>
            <xdr:cNvPr id="1031" name="Option 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Blue Ash, OH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106680</xdr:colOff>
          <xdr:row>25</xdr:row>
          <xdr:rowOff>19050</xdr:rowOff>
        </xdr:from>
        <xdr:to>
          <xdr:col>2</xdr:col>
          <xdr:colOff>1219200</xdr:colOff>
          <xdr:row>26</xdr:row>
          <xdr:rowOff>30480</xdr:rowOff>
        </xdr:to>
        <xdr:sp macro="" textlink="">
          <xdr:nvSpPr>
            <xdr:cNvPr id="1032" name="Option 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Clearwater, FL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25</xdr:row>
          <xdr:rowOff>0</xdr:rowOff>
        </xdr:from>
        <xdr:to>
          <xdr:col>3</xdr:col>
          <xdr:colOff>1104900</xdr:colOff>
          <xdr:row>26</xdr:row>
          <xdr:rowOff>49530</xdr:rowOff>
        </xdr:to>
        <xdr:sp macro="" textlink="">
          <xdr:nvSpPr>
            <xdr:cNvPr id="1033" name="Option 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Dayton, OH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106680</xdr:colOff>
          <xdr:row>25</xdr:row>
          <xdr:rowOff>19050</xdr:rowOff>
        </xdr:from>
        <xdr:to>
          <xdr:col>5</xdr:col>
          <xdr:colOff>76200</xdr:colOff>
          <xdr:row>26</xdr:row>
          <xdr:rowOff>30480</xdr:rowOff>
        </xdr:to>
        <xdr:sp macro="" textlink="">
          <xdr:nvSpPr>
            <xdr:cNvPr id="1034" name="Option 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Durham, NC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26</xdr:row>
          <xdr:rowOff>11430</xdr:rowOff>
        </xdr:from>
        <xdr:to>
          <xdr:col>0</xdr:col>
          <xdr:colOff>1238250</xdr:colOff>
          <xdr:row>27</xdr:row>
          <xdr:rowOff>30480</xdr:rowOff>
        </xdr:to>
        <xdr:sp macro="" textlink="">
          <xdr:nvSpPr>
            <xdr:cNvPr id="1035" name="Option Button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Ellisville, 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106680</xdr:colOff>
          <xdr:row>26</xdr:row>
          <xdr:rowOff>19050</xdr:rowOff>
        </xdr:from>
        <xdr:to>
          <xdr:col>1</xdr:col>
          <xdr:colOff>1287780</xdr:colOff>
          <xdr:row>27</xdr:row>
          <xdr:rowOff>38100</xdr:rowOff>
        </xdr:to>
        <xdr:sp macro="" textlink="">
          <xdr:nvSpPr>
            <xdr:cNvPr id="1036" name="Option 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Erlanger, KY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106680</xdr:colOff>
          <xdr:row>26</xdr:row>
          <xdr:rowOff>182880</xdr:rowOff>
        </xdr:from>
        <xdr:to>
          <xdr:col>1</xdr:col>
          <xdr:colOff>1219200</xdr:colOff>
          <xdr:row>28</xdr:row>
          <xdr:rowOff>30480</xdr:rowOff>
        </xdr:to>
        <xdr:sp macro="" textlink="">
          <xdr:nvSpPr>
            <xdr:cNvPr id="1037" name="Option 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Hamilton, OH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106680</xdr:colOff>
          <xdr:row>28</xdr:row>
          <xdr:rowOff>0</xdr:rowOff>
        </xdr:from>
        <xdr:to>
          <xdr:col>1</xdr:col>
          <xdr:colOff>1287780</xdr:colOff>
          <xdr:row>29</xdr:row>
          <xdr:rowOff>30480</xdr:rowOff>
        </xdr:to>
        <xdr:sp macro="" textlink="">
          <xdr:nvSpPr>
            <xdr:cNvPr id="1038" name="Option Button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Madisonville, KY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106680</xdr:colOff>
          <xdr:row>26</xdr:row>
          <xdr:rowOff>11430</xdr:rowOff>
        </xdr:from>
        <xdr:to>
          <xdr:col>2</xdr:col>
          <xdr:colOff>1211580</xdr:colOff>
          <xdr:row>27</xdr:row>
          <xdr:rowOff>30480</xdr:rowOff>
        </xdr:to>
        <xdr:sp macro="" textlink="">
          <xdr:nvSpPr>
            <xdr:cNvPr id="1042" name="Option Button 18"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Evendale, OH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106680</xdr:colOff>
          <xdr:row>27</xdr:row>
          <xdr:rowOff>19050</xdr:rowOff>
        </xdr:from>
        <xdr:to>
          <xdr:col>2</xdr:col>
          <xdr:colOff>1192530</xdr:colOff>
          <xdr:row>28</xdr:row>
          <xdr:rowOff>30480</xdr:rowOff>
        </xdr:to>
        <xdr:sp macro="" textlink="">
          <xdr:nvSpPr>
            <xdr:cNvPr id="1043" name="Option Button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Hebron, KY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xdr:colOff>
          <xdr:row>26</xdr:row>
          <xdr:rowOff>0</xdr:rowOff>
        </xdr:from>
        <xdr:to>
          <xdr:col>3</xdr:col>
          <xdr:colOff>1085850</xdr:colOff>
          <xdr:row>27</xdr:row>
          <xdr:rowOff>19050</xdr:rowOff>
        </xdr:to>
        <xdr:sp macro="" textlink="">
          <xdr:nvSpPr>
            <xdr:cNvPr id="1048" name="Option Button 24"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Fort Worth, TX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27</xdr:row>
          <xdr:rowOff>0</xdr:rowOff>
        </xdr:from>
        <xdr:to>
          <xdr:col>3</xdr:col>
          <xdr:colOff>1116330</xdr:colOff>
          <xdr:row>28</xdr:row>
          <xdr:rowOff>19050</xdr:rowOff>
        </xdr:to>
        <xdr:sp macro="" textlink="">
          <xdr:nvSpPr>
            <xdr:cNvPr id="1049" name="Option Button 25" hidden="1">
              <a:extLst>
                <a:ext uri="{63B3BB69-23CF-44E3-9099-C40C66FF867C}">
                  <a14:compatExt spid="_x0000_s1049"/>
                </a:ext>
                <a:ext uri="{FF2B5EF4-FFF2-40B4-BE49-F238E27FC236}">
                  <a16:creationId xmlns:a16="http://schemas.microsoft.com/office/drawing/2014/main" id="{00000000-0008-0000-01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Hooksett, NH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106680</xdr:colOff>
          <xdr:row>26</xdr:row>
          <xdr:rowOff>0</xdr:rowOff>
        </xdr:from>
        <xdr:to>
          <xdr:col>5</xdr:col>
          <xdr:colOff>49530</xdr:colOff>
          <xdr:row>27</xdr:row>
          <xdr:rowOff>30480</xdr:rowOff>
        </xdr:to>
        <xdr:sp macro="" textlink="">
          <xdr:nvSpPr>
            <xdr:cNvPr id="1053" name="Option Button 29"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Grand Rapids, MI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106680</xdr:colOff>
          <xdr:row>27</xdr:row>
          <xdr:rowOff>30480</xdr:rowOff>
        </xdr:from>
        <xdr:to>
          <xdr:col>5</xdr:col>
          <xdr:colOff>68580</xdr:colOff>
          <xdr:row>28</xdr:row>
          <xdr:rowOff>30480</xdr:rowOff>
        </xdr:to>
        <xdr:sp macro="" textlink="">
          <xdr:nvSpPr>
            <xdr:cNvPr id="1054" name="Option Button 30"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Irving, TX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27</xdr:row>
          <xdr:rowOff>19050</xdr:rowOff>
        </xdr:from>
        <xdr:to>
          <xdr:col>0</xdr:col>
          <xdr:colOff>1314450</xdr:colOff>
          <xdr:row>28</xdr:row>
          <xdr:rowOff>30480</xdr:rowOff>
        </xdr:to>
        <xdr:sp macro="" textlink="">
          <xdr:nvSpPr>
            <xdr:cNvPr id="1058" name="Option Button 34" hidden="1">
              <a:extLst>
                <a:ext uri="{63B3BB69-23CF-44E3-9099-C40C66FF867C}">
                  <a14:compatExt spid="_x0000_s1058"/>
                </a:ext>
                <a:ext uri="{FF2B5EF4-FFF2-40B4-BE49-F238E27FC236}">
                  <a16:creationId xmlns:a16="http://schemas.microsoft.com/office/drawing/2014/main" id="{00000000-0008-0000-01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Greenville, SC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28</xdr:row>
          <xdr:rowOff>11430</xdr:rowOff>
        </xdr:from>
        <xdr:to>
          <xdr:col>0</xdr:col>
          <xdr:colOff>1268730</xdr:colOff>
          <xdr:row>29</xdr:row>
          <xdr:rowOff>30480</xdr:rowOff>
        </xdr:to>
        <xdr:sp macro="" textlink="">
          <xdr:nvSpPr>
            <xdr:cNvPr id="1059" name="Option Button 35" hidden="1">
              <a:extLst>
                <a:ext uri="{63B3BB69-23CF-44E3-9099-C40C66FF867C}">
                  <a14:compatExt spid="_x0000_s1059"/>
                </a:ext>
                <a:ext uri="{FF2B5EF4-FFF2-40B4-BE49-F238E27FC236}">
                  <a16:creationId xmlns:a16="http://schemas.microsoft.com/office/drawing/2014/main" id="{00000000-0008-0000-01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Jacksonville, FL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39</xdr:row>
          <xdr:rowOff>11430</xdr:rowOff>
        </xdr:from>
        <xdr:to>
          <xdr:col>1</xdr:col>
          <xdr:colOff>0</xdr:colOff>
          <xdr:row>40</xdr:row>
          <xdr:rowOff>30480</xdr:rowOff>
        </xdr:to>
        <xdr:sp macro="" textlink="">
          <xdr:nvSpPr>
            <xdr:cNvPr id="1063" name="Option Button 39" hidden="1">
              <a:extLst>
                <a:ext uri="{63B3BB69-23CF-44E3-9099-C40C66FF867C}">
                  <a14:compatExt spid="_x0000_s1063"/>
                </a:ext>
                <a:ext uri="{FF2B5EF4-FFF2-40B4-BE49-F238E27FC236}">
                  <a16:creationId xmlns:a16="http://schemas.microsoft.com/office/drawing/2014/main" id="{00000000-0008-0000-01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Bohemia, NY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39</xdr:row>
          <xdr:rowOff>0</xdr:rowOff>
        </xdr:from>
        <xdr:to>
          <xdr:col>1</xdr:col>
          <xdr:colOff>1276350</xdr:colOff>
          <xdr:row>40</xdr:row>
          <xdr:rowOff>30480</xdr:rowOff>
        </xdr:to>
        <xdr:sp macro="" textlink="">
          <xdr:nvSpPr>
            <xdr:cNvPr id="1064" name="Option Button 40" hidden="1">
              <a:extLst>
                <a:ext uri="{63B3BB69-23CF-44E3-9099-C40C66FF867C}">
                  <a14:compatExt spid="_x0000_s1064"/>
                </a:ext>
                <a:ext uri="{FF2B5EF4-FFF2-40B4-BE49-F238E27FC236}">
                  <a16:creationId xmlns:a16="http://schemas.microsoft.com/office/drawing/2014/main" id="{00000000-0008-0000-01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Houston, TX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39</xdr:row>
          <xdr:rowOff>0</xdr:rowOff>
        </xdr:from>
        <xdr:to>
          <xdr:col>2</xdr:col>
          <xdr:colOff>1219200</xdr:colOff>
          <xdr:row>40</xdr:row>
          <xdr:rowOff>30480</xdr:rowOff>
        </xdr:to>
        <xdr:sp macro="" textlink="">
          <xdr:nvSpPr>
            <xdr:cNvPr id="1065" name="Option Button 41" hidden="1">
              <a:extLst>
                <a:ext uri="{63B3BB69-23CF-44E3-9099-C40C66FF867C}">
                  <a14:compatExt spid="_x0000_s1065"/>
                </a:ext>
                <a:ext uri="{FF2B5EF4-FFF2-40B4-BE49-F238E27FC236}">
                  <a16:creationId xmlns:a16="http://schemas.microsoft.com/office/drawing/2014/main" id="{00000000-0008-0000-01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Lynn, MA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39</xdr:row>
          <xdr:rowOff>11430</xdr:rowOff>
        </xdr:from>
        <xdr:to>
          <xdr:col>4</xdr:col>
          <xdr:colOff>0</xdr:colOff>
          <xdr:row>40</xdr:row>
          <xdr:rowOff>30480</xdr:rowOff>
        </xdr:to>
        <xdr:sp macro="" textlink="">
          <xdr:nvSpPr>
            <xdr:cNvPr id="1066" name="Option Button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Santa Ana, 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38</xdr:row>
          <xdr:rowOff>266700</xdr:rowOff>
        </xdr:from>
        <xdr:to>
          <xdr:col>5</xdr:col>
          <xdr:colOff>30480</xdr:colOff>
          <xdr:row>40</xdr:row>
          <xdr:rowOff>30480</xdr:rowOff>
        </xdr:to>
        <xdr:sp macro="" textlink="">
          <xdr:nvSpPr>
            <xdr:cNvPr id="1067" name="Option Button 43" hidden="1">
              <a:extLst>
                <a:ext uri="{63B3BB69-23CF-44E3-9099-C40C66FF867C}">
                  <a14:compatExt spid="_x0000_s1067"/>
                </a:ext>
                <a:ext uri="{FF2B5EF4-FFF2-40B4-BE49-F238E27FC236}">
                  <a16:creationId xmlns:a16="http://schemas.microsoft.com/office/drawing/2014/main" id="{00000000-0008-0000-01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Seattle, WA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40</xdr:row>
          <xdr:rowOff>11430</xdr:rowOff>
        </xdr:from>
        <xdr:to>
          <xdr:col>0</xdr:col>
          <xdr:colOff>1306830</xdr:colOff>
          <xdr:row>40</xdr:row>
          <xdr:rowOff>190500</xdr:rowOff>
        </xdr:to>
        <xdr:sp macro="" textlink="">
          <xdr:nvSpPr>
            <xdr:cNvPr id="1068" name="Option Button 44" hidden="1">
              <a:extLst>
                <a:ext uri="{63B3BB69-23CF-44E3-9099-C40C66FF867C}">
                  <a14:compatExt spid="_x0000_s1068"/>
                </a:ext>
                <a:ext uri="{FF2B5EF4-FFF2-40B4-BE49-F238E27FC236}">
                  <a16:creationId xmlns:a16="http://schemas.microsoft.com/office/drawing/2014/main" id="{00000000-0008-0000-01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Victorville, 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23</xdr:row>
          <xdr:rowOff>278130</xdr:rowOff>
        </xdr:from>
        <xdr:to>
          <xdr:col>0</xdr:col>
          <xdr:colOff>1276350</xdr:colOff>
          <xdr:row>25</xdr:row>
          <xdr:rowOff>30480</xdr:rowOff>
        </xdr:to>
        <xdr:sp macro="" textlink="">
          <xdr:nvSpPr>
            <xdr:cNvPr id="1069" name="Option Button 45" hidden="1">
              <a:extLst>
                <a:ext uri="{63B3BB69-23CF-44E3-9099-C40C66FF867C}">
                  <a14:compatExt spid="_x0000_s1069"/>
                </a:ext>
                <a:ext uri="{FF2B5EF4-FFF2-40B4-BE49-F238E27FC236}">
                  <a16:creationId xmlns:a16="http://schemas.microsoft.com/office/drawing/2014/main" id="{00000000-0008-0000-01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Arkansas City, 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31</xdr:row>
          <xdr:rowOff>0</xdr:rowOff>
        </xdr:from>
        <xdr:to>
          <xdr:col>5</xdr:col>
          <xdr:colOff>57150</xdr:colOff>
          <xdr:row>32</xdr:row>
          <xdr:rowOff>11430</xdr:rowOff>
        </xdr:to>
        <xdr:sp macro="" textlink="">
          <xdr:nvSpPr>
            <xdr:cNvPr id="1071" name="Option Button 47" hidden="1">
              <a:extLst>
                <a:ext uri="{63B3BB69-23CF-44E3-9099-C40C66FF867C}">
                  <a14:compatExt spid="_x0000_s1071"/>
                </a:ext>
                <a:ext uri="{FF2B5EF4-FFF2-40B4-BE49-F238E27FC236}">
                  <a16:creationId xmlns:a16="http://schemas.microsoft.com/office/drawing/2014/main" id="{00000000-0008-0000-01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Wilmington, NC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xdr:colOff>
          <xdr:row>31</xdr:row>
          <xdr:rowOff>0</xdr:rowOff>
        </xdr:from>
        <xdr:to>
          <xdr:col>4</xdr:col>
          <xdr:colOff>11430</xdr:colOff>
          <xdr:row>32</xdr:row>
          <xdr:rowOff>11430</xdr:rowOff>
        </xdr:to>
        <xdr:sp macro="" textlink="">
          <xdr:nvSpPr>
            <xdr:cNvPr id="1072" name="Option Button 48" hidden="1">
              <a:extLst>
                <a:ext uri="{63B3BB69-23CF-44E3-9099-C40C66FF867C}">
                  <a14:compatExt spid="_x0000_s1072"/>
                </a:ext>
                <a:ext uri="{FF2B5EF4-FFF2-40B4-BE49-F238E27FC236}">
                  <a16:creationId xmlns:a16="http://schemas.microsoft.com/office/drawing/2014/main" id="{00000000-0008-0000-01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West Jefferson, NC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87630</xdr:colOff>
          <xdr:row>30</xdr:row>
          <xdr:rowOff>182880</xdr:rowOff>
        </xdr:from>
        <xdr:to>
          <xdr:col>2</xdr:col>
          <xdr:colOff>1230630</xdr:colOff>
          <xdr:row>32</xdr:row>
          <xdr:rowOff>30480</xdr:rowOff>
        </xdr:to>
        <xdr:sp macro="" textlink="">
          <xdr:nvSpPr>
            <xdr:cNvPr id="1073" name="Option Button 49" hidden="1">
              <a:extLst>
                <a:ext uri="{63B3BB69-23CF-44E3-9099-C40C66FF867C}">
                  <a14:compatExt spid="_x0000_s1073"/>
                </a:ext>
                <a:ext uri="{FF2B5EF4-FFF2-40B4-BE49-F238E27FC236}">
                  <a16:creationId xmlns:a16="http://schemas.microsoft.com/office/drawing/2014/main" id="{00000000-0008-0000-01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West Chester, OH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106680</xdr:colOff>
          <xdr:row>30</xdr:row>
          <xdr:rowOff>182880</xdr:rowOff>
        </xdr:from>
        <xdr:to>
          <xdr:col>1</xdr:col>
          <xdr:colOff>1135380</xdr:colOff>
          <xdr:row>32</xdr:row>
          <xdr:rowOff>0</xdr:rowOff>
        </xdr:to>
        <xdr:sp macro="" textlink="">
          <xdr:nvSpPr>
            <xdr:cNvPr id="1074" name="Option Button 50" hidden="1">
              <a:extLst>
                <a:ext uri="{63B3BB69-23CF-44E3-9099-C40C66FF867C}">
                  <a14:compatExt spid="_x0000_s1074"/>
                </a:ext>
                <a:ext uri="{FF2B5EF4-FFF2-40B4-BE49-F238E27FC236}">
                  <a16:creationId xmlns:a16="http://schemas.microsoft.com/office/drawing/2014/main" id="{00000000-0008-0000-01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Vandalia, OH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31</xdr:row>
          <xdr:rowOff>11430</xdr:rowOff>
        </xdr:from>
        <xdr:to>
          <xdr:col>0</xdr:col>
          <xdr:colOff>1192530</xdr:colOff>
          <xdr:row>32</xdr:row>
          <xdr:rowOff>30480</xdr:rowOff>
        </xdr:to>
        <xdr:sp macro="" textlink="">
          <xdr:nvSpPr>
            <xdr:cNvPr id="1075" name="Option Button 51" hidden="1">
              <a:extLst>
                <a:ext uri="{63B3BB69-23CF-44E3-9099-C40C66FF867C}">
                  <a14:compatExt spid="_x0000_s1075"/>
                </a:ext>
                <a:ext uri="{FF2B5EF4-FFF2-40B4-BE49-F238E27FC236}">
                  <a16:creationId xmlns:a16="http://schemas.microsoft.com/office/drawing/2014/main" id="{00000000-0008-0000-01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Van Buren, MI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106680</xdr:colOff>
          <xdr:row>30</xdr:row>
          <xdr:rowOff>19050</xdr:rowOff>
        </xdr:from>
        <xdr:to>
          <xdr:col>5</xdr:col>
          <xdr:colOff>95250</xdr:colOff>
          <xdr:row>31</xdr:row>
          <xdr:rowOff>19050</xdr:rowOff>
        </xdr:to>
        <xdr:sp macro="" textlink="">
          <xdr:nvSpPr>
            <xdr:cNvPr id="1076" name="Option Button 52" hidden="1">
              <a:extLst>
                <a:ext uri="{63B3BB69-23CF-44E3-9099-C40C66FF867C}">
                  <a14:compatExt spid="_x0000_s1076"/>
                </a:ext>
                <a:ext uri="{FF2B5EF4-FFF2-40B4-BE49-F238E27FC236}">
                  <a16:creationId xmlns:a16="http://schemas.microsoft.com/office/drawing/2014/main" id="{00000000-0008-0000-01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Terre Haute, 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xdr:colOff>
          <xdr:row>30</xdr:row>
          <xdr:rowOff>0</xdr:rowOff>
        </xdr:from>
        <xdr:to>
          <xdr:col>4</xdr:col>
          <xdr:colOff>57150</xdr:colOff>
          <xdr:row>31</xdr:row>
          <xdr:rowOff>30480</xdr:rowOff>
        </xdr:to>
        <xdr:sp macro="" textlink="">
          <xdr:nvSpPr>
            <xdr:cNvPr id="1077" name="Option Button 53" hidden="1">
              <a:extLst>
                <a:ext uri="{63B3BB69-23CF-44E3-9099-C40C66FF867C}">
                  <a14:compatExt spid="_x0000_s1077"/>
                </a:ext>
                <a:ext uri="{FF2B5EF4-FFF2-40B4-BE49-F238E27FC236}">
                  <a16:creationId xmlns:a16="http://schemas.microsoft.com/office/drawing/2014/main" id="{00000000-0008-0000-01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Sterling, VA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106680</xdr:colOff>
          <xdr:row>30</xdr:row>
          <xdr:rowOff>0</xdr:rowOff>
        </xdr:from>
        <xdr:to>
          <xdr:col>3</xdr:col>
          <xdr:colOff>38100</xdr:colOff>
          <xdr:row>31</xdr:row>
          <xdr:rowOff>19050</xdr:rowOff>
        </xdr:to>
        <xdr:sp macro="" textlink="">
          <xdr:nvSpPr>
            <xdr:cNvPr id="1078" name="Option Button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Springdale, OH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106680</xdr:colOff>
          <xdr:row>30</xdr:row>
          <xdr:rowOff>0</xdr:rowOff>
        </xdr:from>
        <xdr:to>
          <xdr:col>1</xdr:col>
          <xdr:colOff>1181100</xdr:colOff>
          <xdr:row>31</xdr:row>
          <xdr:rowOff>19050</xdr:rowOff>
        </xdr:to>
        <xdr:sp macro="" textlink="">
          <xdr:nvSpPr>
            <xdr:cNvPr id="1080" name="Option Button 56" hidden="1">
              <a:extLst>
                <a:ext uri="{63B3BB69-23CF-44E3-9099-C40C66FF867C}">
                  <a14:compatExt spid="_x0000_s1080"/>
                </a:ext>
                <a:ext uri="{FF2B5EF4-FFF2-40B4-BE49-F238E27FC236}">
                  <a16:creationId xmlns:a16="http://schemas.microsoft.com/office/drawing/2014/main" id="{00000000-0008-0000-01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Sharonville, OH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30</xdr:row>
          <xdr:rowOff>0</xdr:rowOff>
        </xdr:from>
        <xdr:to>
          <xdr:col>0</xdr:col>
          <xdr:colOff>1181100</xdr:colOff>
          <xdr:row>31</xdr:row>
          <xdr:rowOff>19050</xdr:rowOff>
        </xdr:to>
        <xdr:sp macro="" textlink="">
          <xdr:nvSpPr>
            <xdr:cNvPr id="1081" name="Option Button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San Marcos, TX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106680</xdr:colOff>
          <xdr:row>29</xdr:row>
          <xdr:rowOff>19050</xdr:rowOff>
        </xdr:from>
        <xdr:to>
          <xdr:col>5</xdr:col>
          <xdr:colOff>30480</xdr:colOff>
          <xdr:row>30</xdr:row>
          <xdr:rowOff>30480</xdr:rowOff>
        </xdr:to>
        <xdr:sp macro="" textlink="">
          <xdr:nvSpPr>
            <xdr:cNvPr id="1083" name="Option Button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Rutland, VT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28</xdr:row>
          <xdr:rowOff>171450</xdr:rowOff>
        </xdr:from>
        <xdr:to>
          <xdr:col>4</xdr:col>
          <xdr:colOff>0</xdr:colOff>
          <xdr:row>30</xdr:row>
          <xdr:rowOff>19050</xdr:rowOff>
        </xdr:to>
        <xdr:sp macro="" textlink="">
          <xdr:nvSpPr>
            <xdr:cNvPr id="1084" name="Option Button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Rockford, 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106680</xdr:colOff>
          <xdr:row>29</xdr:row>
          <xdr:rowOff>0</xdr:rowOff>
        </xdr:from>
        <xdr:to>
          <xdr:col>3</xdr:col>
          <xdr:colOff>11430</xdr:colOff>
          <xdr:row>30</xdr:row>
          <xdr:rowOff>30480</xdr:rowOff>
        </xdr:to>
        <xdr:sp macro="" textlink="">
          <xdr:nvSpPr>
            <xdr:cNvPr id="1085" name="Option Button 61"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Pompano Beach, FL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106680</xdr:colOff>
          <xdr:row>29</xdr:row>
          <xdr:rowOff>11430</xdr:rowOff>
        </xdr:from>
        <xdr:to>
          <xdr:col>1</xdr:col>
          <xdr:colOff>1306830</xdr:colOff>
          <xdr:row>30</xdr:row>
          <xdr:rowOff>30480</xdr:rowOff>
        </xdr:to>
        <xdr:sp macro="" textlink="">
          <xdr:nvSpPr>
            <xdr:cNvPr id="1086" name="Option Button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Peebles, OH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29</xdr:row>
          <xdr:rowOff>19050</xdr:rowOff>
        </xdr:from>
        <xdr:to>
          <xdr:col>0</xdr:col>
          <xdr:colOff>1181100</xdr:colOff>
          <xdr:row>30</xdr:row>
          <xdr:rowOff>30480</xdr:rowOff>
        </xdr:to>
        <xdr:sp macro="" textlink="">
          <xdr:nvSpPr>
            <xdr:cNvPr id="1087" name="Option Button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Norwich, NY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106680</xdr:colOff>
          <xdr:row>28</xdr:row>
          <xdr:rowOff>0</xdr:rowOff>
        </xdr:from>
        <xdr:to>
          <xdr:col>5</xdr:col>
          <xdr:colOff>38100</xdr:colOff>
          <xdr:row>29</xdr:row>
          <xdr:rowOff>30480</xdr:rowOff>
        </xdr:to>
        <xdr:sp macro="" textlink="">
          <xdr:nvSpPr>
            <xdr:cNvPr id="1088" name="Option Button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Newark, 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xdr:colOff>
          <xdr:row>28</xdr:row>
          <xdr:rowOff>0</xdr:rowOff>
        </xdr:from>
        <xdr:to>
          <xdr:col>3</xdr:col>
          <xdr:colOff>1154430</xdr:colOff>
          <xdr:row>29</xdr:row>
          <xdr:rowOff>19050</xdr:rowOff>
        </xdr:to>
        <xdr:sp macro="" textlink="">
          <xdr:nvSpPr>
            <xdr:cNvPr id="1089" name="Option Button 65"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McAllen, TX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106680</xdr:colOff>
          <xdr:row>28</xdr:row>
          <xdr:rowOff>0</xdr:rowOff>
        </xdr:from>
        <xdr:to>
          <xdr:col>3</xdr:col>
          <xdr:colOff>38100</xdr:colOff>
          <xdr:row>29</xdr:row>
          <xdr:rowOff>30480</xdr:rowOff>
        </xdr:to>
        <xdr:sp macro="" textlink="">
          <xdr:nvSpPr>
            <xdr:cNvPr id="1090" name="Option Button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Manhattan, KS</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workbookViewId="0">
      <selection activeCell="R4" sqref="R4"/>
    </sheetView>
  </sheetViews>
  <sheetFormatPr defaultRowHeight="14.4" x14ac:dyDescent="0.55000000000000004"/>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86"/>
  <sheetViews>
    <sheetView tabSelected="1" zoomScaleNormal="100" workbookViewId="0">
      <selection activeCell="D66" sqref="D66"/>
    </sheetView>
  </sheetViews>
  <sheetFormatPr defaultColWidth="15.578125" defaultRowHeight="14.4" x14ac:dyDescent="0.55000000000000004"/>
  <cols>
    <col min="1" max="1" width="19.83984375" style="118" customWidth="1"/>
    <col min="2" max="2" width="20" style="118" customWidth="1"/>
    <col min="3" max="3" width="18.68359375" style="118" customWidth="1"/>
    <col min="4" max="4" width="17.41796875" style="118" customWidth="1"/>
    <col min="5" max="5" width="17" style="118" customWidth="1"/>
    <col min="6" max="16384" width="15.578125" style="118"/>
  </cols>
  <sheetData>
    <row r="1" spans="1:5" s="1" customFormat="1" ht="23.4" thickTop="1" x14ac:dyDescent="0.85">
      <c r="A1" s="149" t="s">
        <v>0</v>
      </c>
      <c r="B1" s="150"/>
      <c r="C1" s="150"/>
      <c r="D1" s="150"/>
      <c r="E1" s="151"/>
    </row>
    <row r="2" spans="1:5" s="2" customFormat="1" ht="15.6" x14ac:dyDescent="0.6">
      <c r="A2" s="152" t="s">
        <v>1</v>
      </c>
      <c r="B2" s="153"/>
      <c r="C2" s="153"/>
      <c r="D2" s="153"/>
      <c r="E2" s="154"/>
    </row>
    <row r="3" spans="1:5" s="2" customFormat="1" ht="15" customHeight="1" x14ac:dyDescent="0.6">
      <c r="A3" s="146" t="s">
        <v>2</v>
      </c>
      <c r="B3" s="147"/>
      <c r="C3" s="147"/>
      <c r="D3" s="147"/>
      <c r="E3" s="148"/>
    </row>
    <row r="4" spans="1:5" s="2" customFormat="1" ht="15" customHeight="1" x14ac:dyDescent="0.6">
      <c r="A4" s="146" t="s">
        <v>3</v>
      </c>
      <c r="B4" s="147"/>
      <c r="C4" s="147"/>
      <c r="D4" s="147"/>
      <c r="E4" s="148"/>
    </row>
    <row r="5" spans="1:5" s="2" customFormat="1" ht="15.75" customHeight="1" x14ac:dyDescent="0.6">
      <c r="A5" s="146" t="s">
        <v>4</v>
      </c>
      <c r="B5" s="147"/>
      <c r="C5" s="147"/>
      <c r="D5" s="147"/>
      <c r="E5" s="148"/>
    </row>
    <row r="6" spans="1:5" s="2" customFormat="1" ht="15.75" customHeight="1" x14ac:dyDescent="0.6">
      <c r="A6" s="146" t="s">
        <v>5</v>
      </c>
      <c r="B6" s="147"/>
      <c r="C6" s="147"/>
      <c r="D6" s="147"/>
      <c r="E6" s="148"/>
    </row>
    <row r="7" spans="1:5" s="2" customFormat="1" ht="32.25" customHeight="1" x14ac:dyDescent="0.6">
      <c r="A7" s="157" t="s">
        <v>6</v>
      </c>
      <c r="B7" s="158"/>
      <c r="C7" s="158"/>
      <c r="D7" s="158"/>
      <c r="E7" s="159"/>
    </row>
    <row r="8" spans="1:5" s="4" customFormat="1" ht="20.100000000000001" customHeight="1" x14ac:dyDescent="0.5">
      <c r="A8" s="3" t="s">
        <v>7</v>
      </c>
      <c r="B8" s="176" t="s">
        <v>100</v>
      </c>
      <c r="C8" s="176"/>
      <c r="D8" s="176"/>
      <c r="E8" s="177"/>
    </row>
    <row r="9" spans="1:5" s="4" customFormat="1" ht="20.100000000000001" customHeight="1" x14ac:dyDescent="0.5">
      <c r="A9" s="5" t="s">
        <v>8</v>
      </c>
      <c r="B9" s="166" t="s">
        <v>100</v>
      </c>
      <c r="C9" s="166"/>
      <c r="D9" s="166"/>
      <c r="E9" s="167"/>
    </row>
    <row r="10" spans="1:5" s="4" customFormat="1" ht="20.100000000000001" customHeight="1" x14ac:dyDescent="0.5">
      <c r="A10" s="3" t="s">
        <v>9</v>
      </c>
      <c r="B10" s="160" t="s">
        <v>100</v>
      </c>
      <c r="C10" s="160"/>
      <c r="D10" s="160"/>
      <c r="E10" s="161"/>
    </row>
    <row r="11" spans="1:5" s="4" customFormat="1" ht="24" customHeight="1" x14ac:dyDescent="0.5">
      <c r="A11" s="162" t="s">
        <v>10</v>
      </c>
      <c r="B11" s="163"/>
      <c r="C11" s="163"/>
      <c r="D11" s="163"/>
      <c r="E11" s="164"/>
    </row>
    <row r="12" spans="1:5" s="4" customFormat="1" ht="12.9" x14ac:dyDescent="0.5">
      <c r="A12" s="162"/>
      <c r="B12" s="163"/>
      <c r="C12" s="163"/>
      <c r="D12" s="163"/>
      <c r="E12" s="164"/>
    </row>
    <row r="13" spans="1:5" s="4" customFormat="1" ht="20.100000000000001" customHeight="1" x14ac:dyDescent="0.5">
      <c r="A13" s="6" t="s">
        <v>11</v>
      </c>
      <c r="B13" s="165"/>
      <c r="C13" s="165"/>
      <c r="D13" s="165"/>
      <c r="E13" s="119"/>
    </row>
    <row r="14" spans="1:5" s="1" customFormat="1" ht="8.1" customHeight="1" x14ac:dyDescent="0.55000000000000004">
      <c r="A14" s="7"/>
      <c r="B14" s="8"/>
      <c r="C14" s="9"/>
      <c r="D14" s="10"/>
      <c r="E14" s="11"/>
    </row>
    <row r="15" spans="1:5" s="4" customFormat="1" ht="15.75" customHeight="1" x14ac:dyDescent="0.5">
      <c r="A15" s="12" t="s">
        <v>66</v>
      </c>
      <c r="B15" s="13"/>
      <c r="C15" s="13"/>
      <c r="D15" s="14"/>
      <c r="E15" s="15"/>
    </row>
    <row r="16" spans="1:5" s="16" customFormat="1" ht="20.100000000000001" customHeight="1" x14ac:dyDescent="0.5">
      <c r="A16" s="5" t="s">
        <v>12</v>
      </c>
      <c r="B16" s="160" t="s">
        <v>100</v>
      </c>
      <c r="C16" s="160"/>
      <c r="D16" s="160"/>
      <c r="E16" s="161"/>
    </row>
    <row r="17" spans="1:5" s="4" customFormat="1" ht="20.100000000000001" customHeight="1" x14ac:dyDescent="0.5">
      <c r="A17" s="5" t="s">
        <v>13</v>
      </c>
      <c r="B17" s="166" t="s">
        <v>100</v>
      </c>
      <c r="C17" s="166"/>
      <c r="D17" s="166"/>
      <c r="E17" s="167"/>
    </row>
    <row r="18" spans="1:5" s="4" customFormat="1" ht="20.100000000000001" customHeight="1" x14ac:dyDescent="0.5">
      <c r="A18" s="3" t="s">
        <v>14</v>
      </c>
      <c r="B18" s="168" t="s">
        <v>100</v>
      </c>
      <c r="C18" s="168"/>
      <c r="D18" s="168"/>
      <c r="E18" s="169"/>
    </row>
    <row r="19" spans="1:5" s="22" customFormat="1" ht="7.5" customHeight="1" x14ac:dyDescent="0.55000000000000004">
      <c r="A19" s="17"/>
      <c r="B19" s="18"/>
      <c r="C19" s="19"/>
      <c r="D19" s="20"/>
      <c r="E19" s="21"/>
    </row>
    <row r="20" spans="1:5" s="1" customFormat="1" ht="20.5" customHeight="1" x14ac:dyDescent="0.75">
      <c r="A20" s="170" t="s">
        <v>15</v>
      </c>
      <c r="B20" s="171"/>
      <c r="C20" s="171"/>
      <c r="D20" s="171"/>
      <c r="E20" s="172"/>
    </row>
    <row r="21" spans="1:5" s="1" customFormat="1" ht="2.5" customHeight="1" x14ac:dyDescent="0.55000000000000004">
      <c r="A21" s="173" t="s">
        <v>16</v>
      </c>
      <c r="B21" s="174"/>
      <c r="C21" s="174"/>
      <c r="D21" s="174"/>
      <c r="E21" s="175"/>
    </row>
    <row r="22" spans="1:5" s="1" customFormat="1" ht="20.100000000000001" customHeight="1" x14ac:dyDescent="0.55000000000000004">
      <c r="A22" s="173"/>
      <c r="B22" s="174"/>
      <c r="C22" s="174"/>
      <c r="D22" s="174"/>
      <c r="E22" s="175"/>
    </row>
    <row r="23" spans="1:5" s="1" customFormat="1" ht="45" customHeight="1" thickBot="1" x14ac:dyDescent="0.6">
      <c r="A23" s="173"/>
      <c r="B23" s="174"/>
      <c r="C23" s="174"/>
      <c r="D23" s="174"/>
      <c r="E23" s="175"/>
    </row>
    <row r="24" spans="1:5" s="1" customFormat="1" ht="22.5" customHeight="1" x14ac:dyDescent="0.7">
      <c r="A24" s="23" t="s">
        <v>17</v>
      </c>
      <c r="B24" s="24"/>
      <c r="C24" s="24"/>
      <c r="D24" s="24"/>
      <c r="E24" s="25"/>
    </row>
    <row r="25" spans="1:5" s="1" customFormat="1" ht="15" customHeight="1" x14ac:dyDescent="0.55000000000000004">
      <c r="A25" s="26"/>
      <c r="B25" s="27"/>
      <c r="C25" s="27"/>
      <c r="D25" s="27"/>
      <c r="E25" s="28"/>
    </row>
    <row r="26" spans="1:5" s="1" customFormat="1" ht="15" customHeight="1" x14ac:dyDescent="0.55000000000000004">
      <c r="A26" s="26"/>
      <c r="B26" s="27"/>
      <c r="C26" s="27"/>
      <c r="D26" s="27"/>
      <c r="E26" s="28"/>
    </row>
    <row r="27" spans="1:5" s="1" customFormat="1" ht="15" customHeight="1" x14ac:dyDescent="0.55000000000000004">
      <c r="A27" s="26"/>
      <c r="B27" s="27"/>
      <c r="C27" s="27"/>
      <c r="D27" s="27"/>
      <c r="E27" s="28"/>
    </row>
    <row r="28" spans="1:5" s="1" customFormat="1" ht="15" customHeight="1" x14ac:dyDescent="0.55000000000000004">
      <c r="A28" s="26"/>
      <c r="B28" s="27"/>
      <c r="C28" s="27"/>
      <c r="D28" s="27"/>
      <c r="E28" s="28"/>
    </row>
    <row r="29" spans="1:5" s="1" customFormat="1" ht="15" customHeight="1" x14ac:dyDescent="0.55000000000000004">
      <c r="A29" s="26"/>
      <c r="B29" s="27"/>
      <c r="C29" s="27"/>
      <c r="D29" s="27"/>
      <c r="E29" s="28"/>
    </row>
    <row r="30" spans="1:5" s="1" customFormat="1" ht="15" customHeight="1" x14ac:dyDescent="0.55000000000000004">
      <c r="A30" s="26"/>
      <c r="B30" s="27"/>
      <c r="C30" s="27"/>
      <c r="D30" s="27"/>
      <c r="E30" s="28"/>
    </row>
    <row r="31" spans="1:5" s="1" customFormat="1" ht="15" customHeight="1" x14ac:dyDescent="0.55000000000000004">
      <c r="A31" s="26"/>
      <c r="B31" s="27"/>
      <c r="C31" s="27"/>
      <c r="D31" s="27"/>
      <c r="E31" s="28"/>
    </row>
    <row r="32" spans="1:5" s="1" customFormat="1" ht="15" customHeight="1" x14ac:dyDescent="0.55000000000000004">
      <c r="A32" s="26"/>
      <c r="B32" s="27"/>
      <c r="C32" s="27"/>
      <c r="D32" s="29"/>
      <c r="E32" s="30"/>
    </row>
    <row r="33" spans="1:5" s="1" customFormat="1" ht="10" customHeight="1" x14ac:dyDescent="0.55000000000000004">
      <c r="A33" s="31"/>
      <c r="B33" s="32"/>
      <c r="C33" s="32"/>
      <c r="D33" s="33"/>
      <c r="E33" s="34"/>
    </row>
    <row r="34" spans="1:5" s="1" customFormat="1" ht="15" customHeight="1" x14ac:dyDescent="0.55000000000000004">
      <c r="A34" s="35" t="s">
        <v>18</v>
      </c>
      <c r="B34" s="36"/>
      <c r="C34" s="37"/>
      <c r="D34" s="38"/>
      <c r="E34" s="39"/>
    </row>
    <row r="35" spans="1:5" s="1" customFormat="1" ht="15" customHeight="1" x14ac:dyDescent="0.55000000000000004">
      <c r="A35" s="40" t="s">
        <v>19</v>
      </c>
      <c r="B35" s="37"/>
      <c r="C35" s="37"/>
      <c r="D35" s="38"/>
      <c r="E35" s="39"/>
    </row>
    <row r="36" spans="1:5" s="1" customFormat="1" ht="15" customHeight="1" x14ac:dyDescent="0.6">
      <c r="A36" s="41" t="s">
        <v>20</v>
      </c>
      <c r="B36" s="42" t="s">
        <v>21</v>
      </c>
      <c r="C36" s="43" t="s">
        <v>22</v>
      </c>
      <c r="D36" s="155" t="s">
        <v>23</v>
      </c>
      <c r="E36" s="156"/>
    </row>
    <row r="37" spans="1:5" s="1" customFormat="1" ht="15" customHeight="1" thickBot="1" x14ac:dyDescent="0.65">
      <c r="A37" s="100" t="s">
        <v>32</v>
      </c>
      <c r="B37" s="100" t="s">
        <v>32</v>
      </c>
      <c r="C37" s="99" t="e">
        <f>ROUNDUP((B37-A37)/7, 0)</f>
        <v>#VALUE!</v>
      </c>
      <c r="D37" s="181" t="e">
        <f>C37*150</f>
        <v>#VALUE!</v>
      </c>
      <c r="E37" s="182"/>
    </row>
    <row r="38" spans="1:5" s="1" customFormat="1" ht="14.25" customHeight="1" thickTop="1" thickBot="1" x14ac:dyDescent="0.6">
      <c r="A38" s="44"/>
      <c r="B38" s="45"/>
      <c r="C38" s="46"/>
      <c r="D38" s="47"/>
      <c r="E38" s="48"/>
    </row>
    <row r="39" spans="1:5" s="1" customFormat="1" ht="22.5" customHeight="1" x14ac:dyDescent="0.7">
      <c r="A39" s="23" t="s">
        <v>24</v>
      </c>
      <c r="B39" s="24"/>
      <c r="C39" s="24"/>
      <c r="D39" s="24"/>
      <c r="E39" s="25"/>
    </row>
    <row r="40" spans="1:5" s="1" customFormat="1" ht="15" customHeight="1" x14ac:dyDescent="0.55000000000000004">
      <c r="A40" s="49"/>
      <c r="B40" s="50"/>
      <c r="C40" s="51"/>
      <c r="D40" s="52"/>
      <c r="E40" s="53"/>
    </row>
    <row r="41" spans="1:5" s="1" customFormat="1" ht="18.75" customHeight="1" x14ac:dyDescent="0.55000000000000004">
      <c r="A41" s="54"/>
      <c r="B41" s="55"/>
      <c r="C41" s="51"/>
      <c r="D41" s="55"/>
      <c r="E41" s="53"/>
    </row>
    <row r="42" spans="1:5" s="1" customFormat="1" x14ac:dyDescent="0.55000000000000004">
      <c r="A42" s="31"/>
      <c r="B42" s="32"/>
      <c r="C42" s="32"/>
      <c r="D42" s="33"/>
      <c r="E42" s="34"/>
    </row>
    <row r="43" spans="1:5" s="1" customFormat="1" ht="15" customHeight="1" x14ac:dyDescent="0.55000000000000004">
      <c r="A43" s="35" t="s">
        <v>18</v>
      </c>
      <c r="B43" s="36"/>
      <c r="C43" s="37"/>
      <c r="D43" s="38"/>
      <c r="E43" s="39"/>
    </row>
    <row r="44" spans="1:5" s="1" customFormat="1" ht="15" customHeight="1" x14ac:dyDescent="0.55000000000000004">
      <c r="A44" s="40" t="s">
        <v>19</v>
      </c>
      <c r="B44" s="37"/>
      <c r="C44" s="37"/>
      <c r="D44" s="38"/>
      <c r="E44" s="39"/>
    </row>
    <row r="45" spans="1:5" s="1" customFormat="1" ht="15" customHeight="1" x14ac:dyDescent="0.6">
      <c r="A45" s="41" t="s">
        <v>20</v>
      </c>
      <c r="B45" s="42" t="s">
        <v>21</v>
      </c>
      <c r="C45" s="43" t="s">
        <v>22</v>
      </c>
      <c r="D45" s="155" t="s">
        <v>23</v>
      </c>
      <c r="E45" s="156"/>
    </row>
    <row r="46" spans="1:5" s="1" customFormat="1" ht="15" customHeight="1" thickBot="1" x14ac:dyDescent="0.65">
      <c r="A46" s="100" t="s">
        <v>32</v>
      </c>
      <c r="B46" s="100" t="s">
        <v>32</v>
      </c>
      <c r="C46" s="56" t="e">
        <f>ROUNDUP((B46-A46)/7, 0)</f>
        <v>#VALUE!</v>
      </c>
      <c r="D46" s="181" t="e">
        <f>C46*250</f>
        <v>#VALUE!</v>
      </c>
      <c r="E46" s="182"/>
    </row>
    <row r="47" spans="1:5" s="1" customFormat="1" ht="15" customHeight="1" thickTop="1" x14ac:dyDescent="0.6">
      <c r="A47" s="120"/>
      <c r="B47" s="121"/>
      <c r="C47" s="57"/>
      <c r="D47" s="122"/>
      <c r="E47" s="123"/>
    </row>
    <row r="48" spans="1:5" s="1" customFormat="1" ht="15" customHeight="1" thickBot="1" x14ac:dyDescent="0.65">
      <c r="A48" s="120"/>
      <c r="B48" s="121"/>
      <c r="C48" s="57"/>
      <c r="D48" s="122"/>
      <c r="E48" s="123"/>
    </row>
    <row r="49" spans="1:5" s="1" customFormat="1" ht="20.100000000000001" customHeight="1" thickTop="1" x14ac:dyDescent="0.75">
      <c r="A49" s="58" t="s">
        <v>25</v>
      </c>
      <c r="B49" s="183" t="str">
        <f>B9</f>
        <v>x</v>
      </c>
      <c r="C49" s="183"/>
      <c r="D49" s="183"/>
      <c r="E49" s="59" t="str">
        <f>B8</f>
        <v>x</v>
      </c>
    </row>
    <row r="50" spans="1:5" s="1" customFormat="1" ht="20.100000000000001" customHeight="1" x14ac:dyDescent="0.55000000000000004">
      <c r="A50" s="184" t="s">
        <v>67</v>
      </c>
      <c r="B50" s="185"/>
      <c r="C50" s="185"/>
      <c r="D50" s="185"/>
      <c r="E50" s="186"/>
    </row>
    <row r="51" spans="1:5" s="1" customFormat="1" ht="20.100000000000001" customHeight="1" x14ac:dyDescent="0.55000000000000004">
      <c r="A51" s="187"/>
      <c r="B51" s="185"/>
      <c r="C51" s="185"/>
      <c r="D51" s="185"/>
      <c r="E51" s="186"/>
    </row>
    <row r="52" spans="1:5" s="1" customFormat="1" ht="20.100000000000001" customHeight="1" x14ac:dyDescent="0.55000000000000004">
      <c r="A52" s="187"/>
      <c r="B52" s="185"/>
      <c r="C52" s="185"/>
      <c r="D52" s="185"/>
      <c r="E52" s="186"/>
    </row>
    <row r="53" spans="1:5" s="1" customFormat="1" ht="20.25" customHeight="1" thickBot="1" x14ac:dyDescent="0.6">
      <c r="A53" s="187"/>
      <c r="B53" s="185"/>
      <c r="C53" s="185"/>
      <c r="D53" s="185"/>
      <c r="E53" s="186"/>
    </row>
    <row r="54" spans="1:5" s="1" customFormat="1" ht="20.100000000000001" customHeight="1" thickTop="1" thickBot="1" x14ac:dyDescent="0.65">
      <c r="A54" s="178" t="s">
        <v>26</v>
      </c>
      <c r="B54" s="179"/>
      <c r="C54" s="179"/>
      <c r="D54" s="179"/>
      <c r="E54" s="180"/>
    </row>
    <row r="55" spans="1:5" s="1" customFormat="1" ht="20.100000000000001" customHeight="1" thickTop="1" x14ac:dyDescent="0.55000000000000004">
      <c r="A55" s="60" t="s">
        <v>27</v>
      </c>
      <c r="B55" s="61" t="s">
        <v>28</v>
      </c>
      <c r="C55" s="61" t="s">
        <v>29</v>
      </c>
      <c r="D55" s="61" t="s">
        <v>30</v>
      </c>
      <c r="E55" s="62" t="s">
        <v>31</v>
      </c>
    </row>
    <row r="56" spans="1:5" s="1" customFormat="1" ht="20.100000000000001" customHeight="1" thickBot="1" x14ac:dyDescent="0.6">
      <c r="A56" s="101" t="s">
        <v>32</v>
      </c>
      <c r="B56" s="102" t="s">
        <v>32</v>
      </c>
      <c r="C56" s="102" t="s">
        <v>32</v>
      </c>
      <c r="D56" s="102" t="s">
        <v>32</v>
      </c>
      <c r="E56" s="103" t="s">
        <v>32</v>
      </c>
    </row>
    <row r="57" spans="1:5" s="1" customFormat="1" ht="33.75" customHeight="1" thickTop="1" thickBot="1" x14ac:dyDescent="0.65">
      <c r="A57" s="178" t="s">
        <v>33</v>
      </c>
      <c r="B57" s="179"/>
      <c r="C57" s="179"/>
      <c r="D57" s="179"/>
      <c r="E57" s="180"/>
    </row>
    <row r="58" spans="1:5" s="1" customFormat="1" ht="16.75" customHeight="1" thickTop="1" x14ac:dyDescent="0.6">
      <c r="A58" s="63" t="s">
        <v>34</v>
      </c>
      <c r="B58" s="64"/>
      <c r="C58" s="64"/>
      <c r="D58" s="65"/>
      <c r="E58" s="104">
        <v>0</v>
      </c>
    </row>
    <row r="59" spans="1:5" s="1" customFormat="1" ht="15.75" customHeight="1" x14ac:dyDescent="0.55000000000000004">
      <c r="A59" s="188" t="s">
        <v>101</v>
      </c>
      <c r="B59" s="189"/>
      <c r="C59" s="189"/>
      <c r="D59" s="190"/>
      <c r="E59" s="105">
        <v>0</v>
      </c>
    </row>
    <row r="60" spans="1:5" s="1" customFormat="1" ht="15.75" customHeight="1" x14ac:dyDescent="0.55000000000000004">
      <c r="A60" s="66" t="s">
        <v>35</v>
      </c>
      <c r="B60" s="94"/>
      <c r="C60" s="94"/>
      <c r="D60" s="95"/>
      <c r="E60" s="105">
        <v>0</v>
      </c>
    </row>
    <row r="61" spans="1:5" s="1" customFormat="1" ht="12" customHeight="1" thickBot="1" x14ac:dyDescent="0.6">
      <c r="A61" s="67"/>
      <c r="B61" s="93"/>
      <c r="C61" s="93"/>
      <c r="D61" s="93"/>
      <c r="E61" s="124"/>
    </row>
    <row r="62" spans="1:5" s="1" customFormat="1" ht="16.75" customHeight="1" thickTop="1" thickBot="1" x14ac:dyDescent="0.7">
      <c r="A62" s="191" t="s">
        <v>36</v>
      </c>
      <c r="B62" s="192"/>
      <c r="C62" s="192"/>
      <c r="D62" s="192"/>
      <c r="E62" s="193"/>
    </row>
    <row r="63" spans="1:5" s="71" customFormat="1" ht="12" customHeight="1" thickTop="1" thickBot="1" x14ac:dyDescent="0.75">
      <c r="A63" s="68"/>
      <c r="B63" s="69"/>
      <c r="C63" s="69"/>
      <c r="D63" s="69"/>
      <c r="E63" s="70"/>
    </row>
    <row r="64" spans="1:5" s="1" customFormat="1" ht="66" customHeight="1" thickTop="1" thickBot="1" x14ac:dyDescent="0.65">
      <c r="A64" s="194" t="s">
        <v>102</v>
      </c>
      <c r="B64" s="195"/>
      <c r="C64" s="195"/>
      <c r="D64" s="195"/>
      <c r="E64" s="196"/>
    </row>
    <row r="65" spans="1:5" s="1" customFormat="1" ht="20.100000000000001" customHeight="1" thickTop="1" x14ac:dyDescent="0.55000000000000004">
      <c r="A65" s="72" t="s">
        <v>37</v>
      </c>
      <c r="B65" s="73"/>
      <c r="C65" s="74" t="s">
        <v>38</v>
      </c>
      <c r="D65" s="75" t="s">
        <v>39</v>
      </c>
      <c r="E65" s="96" t="s">
        <v>40</v>
      </c>
    </row>
    <row r="66" spans="1:5" s="1" customFormat="1" ht="20.100000000000001" customHeight="1" x14ac:dyDescent="0.55000000000000004">
      <c r="A66" s="66" t="s">
        <v>41</v>
      </c>
      <c r="B66" s="76"/>
      <c r="C66" s="106">
        <v>0</v>
      </c>
      <c r="D66" s="125">
        <f>PRODUCT(C66,0.535)</f>
        <v>0</v>
      </c>
      <c r="E66" s="197">
        <f>SUM(D66:D67)</f>
        <v>0</v>
      </c>
    </row>
    <row r="67" spans="1:5" s="78" customFormat="1" ht="20.100000000000001" customHeight="1" thickBot="1" x14ac:dyDescent="0.65">
      <c r="A67" s="67" t="s">
        <v>42</v>
      </c>
      <c r="B67" s="77"/>
      <c r="C67" s="107">
        <v>0</v>
      </c>
      <c r="D67" s="126">
        <f>PRODUCT(C67,0.535)</f>
        <v>0</v>
      </c>
      <c r="E67" s="198"/>
    </row>
    <row r="68" spans="1:5" s="1" customFormat="1" ht="30" customHeight="1" thickTop="1" thickBot="1" x14ac:dyDescent="0.65">
      <c r="A68" s="178" t="s">
        <v>43</v>
      </c>
      <c r="B68" s="179"/>
      <c r="C68" s="179"/>
      <c r="D68" s="179"/>
      <c r="E68" s="180"/>
    </row>
    <row r="69" spans="1:5" s="78" customFormat="1" ht="20.100000000000001" customHeight="1" thickTop="1" thickBot="1" x14ac:dyDescent="0.65">
      <c r="A69" s="67" t="s">
        <v>44</v>
      </c>
      <c r="B69" s="36"/>
      <c r="C69" s="79"/>
      <c r="D69" s="36"/>
      <c r="E69" s="108">
        <v>0</v>
      </c>
    </row>
    <row r="70" spans="1:5" s="1" customFormat="1" ht="32.25" customHeight="1" thickTop="1" thickBot="1" x14ac:dyDescent="0.65">
      <c r="A70" s="208" t="s">
        <v>45</v>
      </c>
      <c r="B70" s="209"/>
      <c r="C70" s="209"/>
      <c r="D70" s="209"/>
      <c r="E70" s="210"/>
    </row>
    <row r="71" spans="1:5" s="1" customFormat="1" ht="20.100000000000001" customHeight="1" thickTop="1" x14ac:dyDescent="0.55000000000000004">
      <c r="A71" s="80" t="s">
        <v>46</v>
      </c>
      <c r="B71" s="81" t="s">
        <v>47</v>
      </c>
      <c r="C71" s="82" t="s">
        <v>48</v>
      </c>
      <c r="D71" s="83" t="s">
        <v>49</v>
      </c>
      <c r="E71" s="97" t="s">
        <v>50</v>
      </c>
    </row>
    <row r="72" spans="1:5" s="1" customFormat="1" ht="20.100000000000001" customHeight="1" x14ac:dyDescent="0.55000000000000004">
      <c r="A72" s="84" t="s">
        <v>51</v>
      </c>
      <c r="B72" s="109">
        <v>0</v>
      </c>
      <c r="C72" s="109">
        <v>0</v>
      </c>
      <c r="D72" s="110">
        <v>0</v>
      </c>
      <c r="E72" s="197">
        <f>SUM(B72:D75)</f>
        <v>0</v>
      </c>
    </row>
    <row r="73" spans="1:5" s="1" customFormat="1" ht="20.100000000000001" customHeight="1" x14ac:dyDescent="0.55000000000000004">
      <c r="A73" s="84" t="s">
        <v>52</v>
      </c>
      <c r="B73" s="109">
        <v>0</v>
      </c>
      <c r="C73" s="109">
        <v>0</v>
      </c>
      <c r="D73" s="111">
        <v>0</v>
      </c>
      <c r="E73" s="211"/>
    </row>
    <row r="74" spans="1:5" s="1" customFormat="1" ht="20.100000000000001" customHeight="1" x14ac:dyDescent="0.55000000000000004">
      <c r="A74" s="84" t="s">
        <v>53</v>
      </c>
      <c r="B74" s="109">
        <v>0</v>
      </c>
      <c r="C74" s="109">
        <v>0</v>
      </c>
      <c r="D74" s="111">
        <v>0</v>
      </c>
      <c r="E74" s="211"/>
    </row>
    <row r="75" spans="1:5" s="78" customFormat="1" ht="20.100000000000001" customHeight="1" thickBot="1" x14ac:dyDescent="0.65">
      <c r="A75" s="85" t="s">
        <v>54</v>
      </c>
      <c r="B75" s="112">
        <v>0</v>
      </c>
      <c r="C75" s="112">
        <v>0</v>
      </c>
      <c r="D75" s="113">
        <v>0</v>
      </c>
      <c r="E75" s="198"/>
    </row>
    <row r="76" spans="1:5" s="1" customFormat="1" ht="33" customHeight="1" thickTop="1" thickBot="1" x14ac:dyDescent="0.65">
      <c r="A76" s="212" t="s">
        <v>55</v>
      </c>
      <c r="B76" s="213"/>
      <c r="C76" s="213"/>
      <c r="D76" s="213"/>
      <c r="E76" s="214"/>
    </row>
    <row r="77" spans="1:5" s="1" customFormat="1" ht="20.100000000000001" customHeight="1" thickTop="1" x14ac:dyDescent="0.55000000000000004">
      <c r="A77" s="215" t="s">
        <v>56</v>
      </c>
      <c r="B77" s="86"/>
      <c r="C77" s="87" t="s">
        <v>57</v>
      </c>
      <c r="D77" s="88" t="s">
        <v>39</v>
      </c>
      <c r="E77" s="98" t="s">
        <v>58</v>
      </c>
    </row>
    <row r="78" spans="1:5" s="1" customFormat="1" ht="20.100000000000001" customHeight="1" x14ac:dyDescent="0.55000000000000004">
      <c r="A78" s="216"/>
      <c r="B78" s="89" t="s">
        <v>59</v>
      </c>
      <c r="C78" s="128"/>
      <c r="D78" s="129">
        <v>0</v>
      </c>
      <c r="E78" s="218">
        <f>SUM(D78:D81)</f>
        <v>0</v>
      </c>
    </row>
    <row r="79" spans="1:5" s="1" customFormat="1" ht="20.100000000000001" customHeight="1" x14ac:dyDescent="0.55000000000000004">
      <c r="A79" s="216"/>
      <c r="B79" s="89" t="s">
        <v>60</v>
      </c>
      <c r="C79" s="114"/>
      <c r="D79" s="129">
        <v>0</v>
      </c>
      <c r="E79" s="219"/>
    </row>
    <row r="80" spans="1:5" s="1" customFormat="1" ht="20.100000000000001" customHeight="1" x14ac:dyDescent="0.55000000000000004">
      <c r="A80" s="216"/>
      <c r="B80" s="89" t="s">
        <v>61</v>
      </c>
      <c r="C80" s="114"/>
      <c r="D80" s="129">
        <v>0</v>
      </c>
      <c r="E80" s="219"/>
    </row>
    <row r="81" spans="1:5" s="78" customFormat="1" ht="20.100000000000001" customHeight="1" thickBot="1" x14ac:dyDescent="0.65">
      <c r="A81" s="217"/>
      <c r="B81" s="89" t="s">
        <v>62</v>
      </c>
      <c r="C81" s="115"/>
      <c r="D81" s="130">
        <v>0</v>
      </c>
      <c r="E81" s="220"/>
    </row>
    <row r="82" spans="1:5" s="1" customFormat="1" ht="20.100000000000001" customHeight="1" thickTop="1" thickBot="1" x14ac:dyDescent="0.65">
      <c r="A82" s="212" t="s">
        <v>63</v>
      </c>
      <c r="B82" s="213"/>
      <c r="C82" s="213"/>
      <c r="D82" s="213"/>
      <c r="E82" s="214"/>
    </row>
    <row r="83" spans="1:5" s="1" customFormat="1" ht="20.100000000000001" customHeight="1" thickTop="1" x14ac:dyDescent="0.6">
      <c r="A83" s="199"/>
      <c r="B83" s="200"/>
      <c r="C83" s="201"/>
      <c r="D83" s="116">
        <v>0</v>
      </c>
      <c r="E83" s="90" t="s">
        <v>64</v>
      </c>
    </row>
    <row r="84" spans="1:5" s="91" customFormat="1" ht="20.100000000000001" customHeight="1" thickBot="1" x14ac:dyDescent="0.75">
      <c r="A84" s="202"/>
      <c r="B84" s="203"/>
      <c r="C84" s="204"/>
      <c r="D84" s="117">
        <v>0</v>
      </c>
      <c r="E84" s="127">
        <f>SUM(D83:D84)</f>
        <v>0</v>
      </c>
    </row>
    <row r="85" spans="1:5" s="1" customFormat="1" ht="18.899999999999999" thickTop="1" thickBot="1" x14ac:dyDescent="0.75">
      <c r="A85" s="205" t="s">
        <v>65</v>
      </c>
      <c r="B85" s="206"/>
      <c r="C85" s="206"/>
      <c r="D85" s="207"/>
      <c r="E85" s="92">
        <f>SUM(E58,E59,E60,E66,E69,E72,E78,E84)</f>
        <v>0</v>
      </c>
    </row>
    <row r="86" spans="1:5" ht="14.7" thickTop="1" x14ac:dyDescent="0.55000000000000004"/>
  </sheetData>
  <sheetProtection selectLockedCells="1"/>
  <mergeCells count="39">
    <mergeCell ref="A83:C83"/>
    <mergeCell ref="A84:C84"/>
    <mergeCell ref="A85:D85"/>
    <mergeCell ref="A70:E70"/>
    <mergeCell ref="E72:E75"/>
    <mergeCell ref="A76:E76"/>
    <mergeCell ref="A77:A81"/>
    <mergeCell ref="E78:E81"/>
    <mergeCell ref="A82:E82"/>
    <mergeCell ref="A68:E68"/>
    <mergeCell ref="D37:E37"/>
    <mergeCell ref="D45:E45"/>
    <mergeCell ref="D46:E46"/>
    <mergeCell ref="B49:D49"/>
    <mergeCell ref="A50:E53"/>
    <mergeCell ref="A54:E54"/>
    <mergeCell ref="A57:E57"/>
    <mergeCell ref="A59:D59"/>
    <mergeCell ref="A62:E62"/>
    <mergeCell ref="A64:E64"/>
    <mergeCell ref="E66:E67"/>
    <mergeCell ref="D36:E36"/>
    <mergeCell ref="A7:E7"/>
    <mergeCell ref="B10:E10"/>
    <mergeCell ref="A11:E12"/>
    <mergeCell ref="B13:D13"/>
    <mergeCell ref="B16:E16"/>
    <mergeCell ref="B17:E17"/>
    <mergeCell ref="B18:E18"/>
    <mergeCell ref="A20:E20"/>
    <mergeCell ref="A21:E23"/>
    <mergeCell ref="B8:E8"/>
    <mergeCell ref="B9:E9"/>
    <mergeCell ref="A6:E6"/>
    <mergeCell ref="A1:E1"/>
    <mergeCell ref="A2:E2"/>
    <mergeCell ref="A3:E3"/>
    <mergeCell ref="A4:E4"/>
    <mergeCell ref="A5:E5"/>
  </mergeCells>
  <pageMargins left="0.7" right="0.7" top="0.75" bottom="0.75" header="0.3" footer="0.3"/>
  <pageSetup scale="97" orientation="portrait" r:id="rId1"/>
  <colBreaks count="1" manualBreakCount="1">
    <brk id="5"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6" r:id="rId4" name="Option Button 2">
              <controlPr defaultSize="0" autoFill="0" autoLine="0" autoPict="0">
                <anchor moveWithCells="1">
                  <from>
                    <xdr:col>1</xdr:col>
                    <xdr:colOff>106680</xdr:colOff>
                    <xdr:row>24</xdr:row>
                    <xdr:rowOff>30480</xdr:rowOff>
                  </from>
                  <to>
                    <xdr:col>1</xdr:col>
                    <xdr:colOff>1211580</xdr:colOff>
                    <xdr:row>25</xdr:row>
                    <xdr:rowOff>30480</xdr:rowOff>
                  </to>
                </anchor>
              </controlPr>
            </control>
          </mc:Choice>
        </mc:AlternateContent>
        <mc:AlternateContent xmlns:mc="http://schemas.openxmlformats.org/markup-compatibility/2006">
          <mc:Choice Requires="x14">
            <control shapeId="1027" r:id="rId5" name="Option Button 3">
              <controlPr defaultSize="0" autoFill="0" autoLine="0" autoPict="0">
                <anchor moveWithCells="1">
                  <from>
                    <xdr:col>2</xdr:col>
                    <xdr:colOff>106680</xdr:colOff>
                    <xdr:row>24</xdr:row>
                    <xdr:rowOff>11430</xdr:rowOff>
                  </from>
                  <to>
                    <xdr:col>2</xdr:col>
                    <xdr:colOff>1200150</xdr:colOff>
                    <xdr:row>25</xdr:row>
                    <xdr:rowOff>30480</xdr:rowOff>
                  </to>
                </anchor>
              </controlPr>
            </control>
          </mc:Choice>
        </mc:AlternateContent>
        <mc:AlternateContent xmlns:mc="http://schemas.openxmlformats.org/markup-compatibility/2006">
          <mc:Choice Requires="x14">
            <control shapeId="1028" r:id="rId6" name="Option Button 4">
              <controlPr defaultSize="0" autoFill="0" autoLine="0" autoPict="0">
                <anchor moveWithCells="1">
                  <from>
                    <xdr:col>3</xdr:col>
                    <xdr:colOff>30480</xdr:colOff>
                    <xdr:row>24</xdr:row>
                    <xdr:rowOff>30480</xdr:rowOff>
                  </from>
                  <to>
                    <xdr:col>3</xdr:col>
                    <xdr:colOff>1123950</xdr:colOff>
                    <xdr:row>25</xdr:row>
                    <xdr:rowOff>30480</xdr:rowOff>
                  </to>
                </anchor>
              </controlPr>
            </control>
          </mc:Choice>
        </mc:AlternateContent>
        <mc:AlternateContent xmlns:mc="http://schemas.openxmlformats.org/markup-compatibility/2006">
          <mc:Choice Requires="x14">
            <control shapeId="1029" r:id="rId7" name="Option Button 5">
              <controlPr defaultSize="0" autoFill="0" autoLine="0" autoPict="0">
                <anchor moveWithCells="1">
                  <from>
                    <xdr:col>4</xdr:col>
                    <xdr:colOff>106680</xdr:colOff>
                    <xdr:row>23</xdr:row>
                    <xdr:rowOff>278130</xdr:rowOff>
                  </from>
                  <to>
                    <xdr:col>5</xdr:col>
                    <xdr:colOff>49530</xdr:colOff>
                    <xdr:row>25</xdr:row>
                    <xdr:rowOff>30480</xdr:rowOff>
                  </to>
                </anchor>
              </controlPr>
            </control>
          </mc:Choice>
        </mc:AlternateContent>
        <mc:AlternateContent xmlns:mc="http://schemas.openxmlformats.org/markup-compatibility/2006">
          <mc:Choice Requires="x14">
            <control shapeId="1030" r:id="rId8" name="Option Button 6">
              <controlPr defaultSize="0" autoFill="0" autoLine="0" autoPict="0">
                <anchor moveWithCells="1">
                  <from>
                    <xdr:col>0</xdr:col>
                    <xdr:colOff>106680</xdr:colOff>
                    <xdr:row>25</xdr:row>
                    <xdr:rowOff>19050</xdr:rowOff>
                  </from>
                  <to>
                    <xdr:col>0</xdr:col>
                    <xdr:colOff>1238250</xdr:colOff>
                    <xdr:row>26</xdr:row>
                    <xdr:rowOff>38100</xdr:rowOff>
                  </to>
                </anchor>
              </controlPr>
            </control>
          </mc:Choice>
        </mc:AlternateContent>
        <mc:AlternateContent xmlns:mc="http://schemas.openxmlformats.org/markup-compatibility/2006">
          <mc:Choice Requires="x14">
            <control shapeId="1031" r:id="rId9" name="Option Button 7">
              <controlPr defaultSize="0" autoFill="0" autoLine="0" autoPict="0">
                <anchor moveWithCells="1">
                  <from>
                    <xdr:col>1</xdr:col>
                    <xdr:colOff>106680</xdr:colOff>
                    <xdr:row>25</xdr:row>
                    <xdr:rowOff>0</xdr:rowOff>
                  </from>
                  <to>
                    <xdr:col>1</xdr:col>
                    <xdr:colOff>1238250</xdr:colOff>
                    <xdr:row>26</xdr:row>
                    <xdr:rowOff>30480</xdr:rowOff>
                  </to>
                </anchor>
              </controlPr>
            </control>
          </mc:Choice>
        </mc:AlternateContent>
        <mc:AlternateContent xmlns:mc="http://schemas.openxmlformats.org/markup-compatibility/2006">
          <mc:Choice Requires="x14">
            <control shapeId="1032" r:id="rId10" name="Option Button 8">
              <controlPr defaultSize="0" autoFill="0" autoLine="0" autoPict="0">
                <anchor moveWithCells="1">
                  <from>
                    <xdr:col>2</xdr:col>
                    <xdr:colOff>106680</xdr:colOff>
                    <xdr:row>25</xdr:row>
                    <xdr:rowOff>19050</xdr:rowOff>
                  </from>
                  <to>
                    <xdr:col>2</xdr:col>
                    <xdr:colOff>1219200</xdr:colOff>
                    <xdr:row>26</xdr:row>
                    <xdr:rowOff>30480</xdr:rowOff>
                  </to>
                </anchor>
              </controlPr>
            </control>
          </mc:Choice>
        </mc:AlternateContent>
        <mc:AlternateContent xmlns:mc="http://schemas.openxmlformats.org/markup-compatibility/2006">
          <mc:Choice Requires="x14">
            <control shapeId="1033" r:id="rId11" name="Option Button 9">
              <controlPr defaultSize="0" autoFill="0" autoLine="0" autoPict="0">
                <anchor moveWithCells="1">
                  <from>
                    <xdr:col>3</xdr:col>
                    <xdr:colOff>19050</xdr:colOff>
                    <xdr:row>25</xdr:row>
                    <xdr:rowOff>0</xdr:rowOff>
                  </from>
                  <to>
                    <xdr:col>3</xdr:col>
                    <xdr:colOff>1104900</xdr:colOff>
                    <xdr:row>26</xdr:row>
                    <xdr:rowOff>49530</xdr:rowOff>
                  </to>
                </anchor>
              </controlPr>
            </control>
          </mc:Choice>
        </mc:AlternateContent>
        <mc:AlternateContent xmlns:mc="http://schemas.openxmlformats.org/markup-compatibility/2006">
          <mc:Choice Requires="x14">
            <control shapeId="1034" r:id="rId12" name="Option Button 10">
              <controlPr defaultSize="0" autoFill="0" autoLine="0" autoPict="0">
                <anchor moveWithCells="1">
                  <from>
                    <xdr:col>4</xdr:col>
                    <xdr:colOff>106680</xdr:colOff>
                    <xdr:row>25</xdr:row>
                    <xdr:rowOff>19050</xdr:rowOff>
                  </from>
                  <to>
                    <xdr:col>5</xdr:col>
                    <xdr:colOff>76200</xdr:colOff>
                    <xdr:row>26</xdr:row>
                    <xdr:rowOff>30480</xdr:rowOff>
                  </to>
                </anchor>
              </controlPr>
            </control>
          </mc:Choice>
        </mc:AlternateContent>
        <mc:AlternateContent xmlns:mc="http://schemas.openxmlformats.org/markup-compatibility/2006">
          <mc:Choice Requires="x14">
            <control shapeId="1035" r:id="rId13" name="Option Button 11">
              <controlPr defaultSize="0" autoFill="0" autoLine="0" autoPict="0">
                <anchor moveWithCells="1">
                  <from>
                    <xdr:col>0</xdr:col>
                    <xdr:colOff>106680</xdr:colOff>
                    <xdr:row>26</xdr:row>
                    <xdr:rowOff>11430</xdr:rowOff>
                  </from>
                  <to>
                    <xdr:col>0</xdr:col>
                    <xdr:colOff>1238250</xdr:colOff>
                    <xdr:row>27</xdr:row>
                    <xdr:rowOff>30480</xdr:rowOff>
                  </to>
                </anchor>
              </controlPr>
            </control>
          </mc:Choice>
        </mc:AlternateContent>
        <mc:AlternateContent xmlns:mc="http://schemas.openxmlformats.org/markup-compatibility/2006">
          <mc:Choice Requires="x14">
            <control shapeId="1036" r:id="rId14" name="Option Button 12">
              <controlPr defaultSize="0" autoFill="0" autoLine="0" autoPict="0">
                <anchor moveWithCells="1">
                  <from>
                    <xdr:col>1</xdr:col>
                    <xdr:colOff>106680</xdr:colOff>
                    <xdr:row>26</xdr:row>
                    <xdr:rowOff>19050</xdr:rowOff>
                  </from>
                  <to>
                    <xdr:col>1</xdr:col>
                    <xdr:colOff>1287780</xdr:colOff>
                    <xdr:row>27</xdr:row>
                    <xdr:rowOff>38100</xdr:rowOff>
                  </to>
                </anchor>
              </controlPr>
            </control>
          </mc:Choice>
        </mc:AlternateContent>
        <mc:AlternateContent xmlns:mc="http://schemas.openxmlformats.org/markup-compatibility/2006">
          <mc:Choice Requires="x14">
            <control shapeId="1037" r:id="rId15" name="Option Button 13">
              <controlPr defaultSize="0" autoFill="0" autoLine="0" autoPict="0">
                <anchor moveWithCells="1">
                  <from>
                    <xdr:col>1</xdr:col>
                    <xdr:colOff>106680</xdr:colOff>
                    <xdr:row>26</xdr:row>
                    <xdr:rowOff>182880</xdr:rowOff>
                  </from>
                  <to>
                    <xdr:col>1</xdr:col>
                    <xdr:colOff>1219200</xdr:colOff>
                    <xdr:row>28</xdr:row>
                    <xdr:rowOff>30480</xdr:rowOff>
                  </to>
                </anchor>
              </controlPr>
            </control>
          </mc:Choice>
        </mc:AlternateContent>
        <mc:AlternateContent xmlns:mc="http://schemas.openxmlformats.org/markup-compatibility/2006">
          <mc:Choice Requires="x14">
            <control shapeId="1038" r:id="rId16" name="Option Button 14">
              <controlPr defaultSize="0" autoFill="0" autoLine="0" autoPict="0">
                <anchor moveWithCells="1">
                  <from>
                    <xdr:col>1</xdr:col>
                    <xdr:colOff>106680</xdr:colOff>
                    <xdr:row>28</xdr:row>
                    <xdr:rowOff>0</xdr:rowOff>
                  </from>
                  <to>
                    <xdr:col>1</xdr:col>
                    <xdr:colOff>1287780</xdr:colOff>
                    <xdr:row>29</xdr:row>
                    <xdr:rowOff>30480</xdr:rowOff>
                  </to>
                </anchor>
              </controlPr>
            </control>
          </mc:Choice>
        </mc:AlternateContent>
        <mc:AlternateContent xmlns:mc="http://schemas.openxmlformats.org/markup-compatibility/2006">
          <mc:Choice Requires="x14">
            <control shapeId="1042" r:id="rId17" name="Option Button 18">
              <controlPr defaultSize="0" autoFill="0" autoLine="0" autoPict="0">
                <anchor moveWithCells="1">
                  <from>
                    <xdr:col>2</xdr:col>
                    <xdr:colOff>106680</xdr:colOff>
                    <xdr:row>26</xdr:row>
                    <xdr:rowOff>11430</xdr:rowOff>
                  </from>
                  <to>
                    <xdr:col>2</xdr:col>
                    <xdr:colOff>1211580</xdr:colOff>
                    <xdr:row>27</xdr:row>
                    <xdr:rowOff>30480</xdr:rowOff>
                  </to>
                </anchor>
              </controlPr>
            </control>
          </mc:Choice>
        </mc:AlternateContent>
        <mc:AlternateContent xmlns:mc="http://schemas.openxmlformats.org/markup-compatibility/2006">
          <mc:Choice Requires="x14">
            <control shapeId="1043" r:id="rId18" name="Option Button 19">
              <controlPr defaultSize="0" autoFill="0" autoLine="0" autoPict="0">
                <anchor moveWithCells="1">
                  <from>
                    <xdr:col>2</xdr:col>
                    <xdr:colOff>106680</xdr:colOff>
                    <xdr:row>27</xdr:row>
                    <xdr:rowOff>19050</xdr:rowOff>
                  </from>
                  <to>
                    <xdr:col>2</xdr:col>
                    <xdr:colOff>1192530</xdr:colOff>
                    <xdr:row>28</xdr:row>
                    <xdr:rowOff>30480</xdr:rowOff>
                  </to>
                </anchor>
              </controlPr>
            </control>
          </mc:Choice>
        </mc:AlternateContent>
        <mc:AlternateContent xmlns:mc="http://schemas.openxmlformats.org/markup-compatibility/2006">
          <mc:Choice Requires="x14">
            <control shapeId="1048" r:id="rId19" name="Option Button 24">
              <controlPr defaultSize="0" autoFill="0" autoLine="0" autoPict="0">
                <anchor moveWithCells="1">
                  <from>
                    <xdr:col>3</xdr:col>
                    <xdr:colOff>11430</xdr:colOff>
                    <xdr:row>26</xdr:row>
                    <xdr:rowOff>0</xdr:rowOff>
                  </from>
                  <to>
                    <xdr:col>3</xdr:col>
                    <xdr:colOff>1085850</xdr:colOff>
                    <xdr:row>27</xdr:row>
                    <xdr:rowOff>19050</xdr:rowOff>
                  </to>
                </anchor>
              </controlPr>
            </control>
          </mc:Choice>
        </mc:AlternateContent>
        <mc:AlternateContent xmlns:mc="http://schemas.openxmlformats.org/markup-compatibility/2006">
          <mc:Choice Requires="x14">
            <control shapeId="1049" r:id="rId20" name="Option Button 25">
              <controlPr defaultSize="0" autoFill="0" autoLine="0" autoPict="0">
                <anchor moveWithCells="1">
                  <from>
                    <xdr:col>3</xdr:col>
                    <xdr:colOff>19050</xdr:colOff>
                    <xdr:row>27</xdr:row>
                    <xdr:rowOff>0</xdr:rowOff>
                  </from>
                  <to>
                    <xdr:col>3</xdr:col>
                    <xdr:colOff>1116330</xdr:colOff>
                    <xdr:row>28</xdr:row>
                    <xdr:rowOff>19050</xdr:rowOff>
                  </to>
                </anchor>
              </controlPr>
            </control>
          </mc:Choice>
        </mc:AlternateContent>
        <mc:AlternateContent xmlns:mc="http://schemas.openxmlformats.org/markup-compatibility/2006">
          <mc:Choice Requires="x14">
            <control shapeId="1053" r:id="rId21" name="Option Button 29">
              <controlPr defaultSize="0" autoFill="0" autoLine="0" autoPict="0">
                <anchor moveWithCells="1">
                  <from>
                    <xdr:col>4</xdr:col>
                    <xdr:colOff>106680</xdr:colOff>
                    <xdr:row>26</xdr:row>
                    <xdr:rowOff>0</xdr:rowOff>
                  </from>
                  <to>
                    <xdr:col>5</xdr:col>
                    <xdr:colOff>49530</xdr:colOff>
                    <xdr:row>27</xdr:row>
                    <xdr:rowOff>30480</xdr:rowOff>
                  </to>
                </anchor>
              </controlPr>
            </control>
          </mc:Choice>
        </mc:AlternateContent>
        <mc:AlternateContent xmlns:mc="http://schemas.openxmlformats.org/markup-compatibility/2006">
          <mc:Choice Requires="x14">
            <control shapeId="1054" r:id="rId22" name="Option Button 30">
              <controlPr defaultSize="0" autoFill="0" autoLine="0" autoPict="0">
                <anchor moveWithCells="1">
                  <from>
                    <xdr:col>4</xdr:col>
                    <xdr:colOff>106680</xdr:colOff>
                    <xdr:row>27</xdr:row>
                    <xdr:rowOff>30480</xdr:rowOff>
                  </from>
                  <to>
                    <xdr:col>5</xdr:col>
                    <xdr:colOff>68580</xdr:colOff>
                    <xdr:row>28</xdr:row>
                    <xdr:rowOff>30480</xdr:rowOff>
                  </to>
                </anchor>
              </controlPr>
            </control>
          </mc:Choice>
        </mc:AlternateContent>
        <mc:AlternateContent xmlns:mc="http://schemas.openxmlformats.org/markup-compatibility/2006">
          <mc:Choice Requires="x14">
            <control shapeId="1058" r:id="rId23" name="Option Button 34">
              <controlPr defaultSize="0" autoFill="0" autoLine="0" autoPict="0">
                <anchor moveWithCells="1">
                  <from>
                    <xdr:col>0</xdr:col>
                    <xdr:colOff>106680</xdr:colOff>
                    <xdr:row>27</xdr:row>
                    <xdr:rowOff>19050</xdr:rowOff>
                  </from>
                  <to>
                    <xdr:col>0</xdr:col>
                    <xdr:colOff>1314450</xdr:colOff>
                    <xdr:row>28</xdr:row>
                    <xdr:rowOff>30480</xdr:rowOff>
                  </to>
                </anchor>
              </controlPr>
            </control>
          </mc:Choice>
        </mc:AlternateContent>
        <mc:AlternateContent xmlns:mc="http://schemas.openxmlformats.org/markup-compatibility/2006">
          <mc:Choice Requires="x14">
            <control shapeId="1059" r:id="rId24" name="Option Button 35">
              <controlPr defaultSize="0" autoFill="0" autoLine="0" autoPict="0">
                <anchor moveWithCells="1">
                  <from>
                    <xdr:col>0</xdr:col>
                    <xdr:colOff>106680</xdr:colOff>
                    <xdr:row>28</xdr:row>
                    <xdr:rowOff>11430</xdr:rowOff>
                  </from>
                  <to>
                    <xdr:col>0</xdr:col>
                    <xdr:colOff>1268730</xdr:colOff>
                    <xdr:row>29</xdr:row>
                    <xdr:rowOff>30480</xdr:rowOff>
                  </to>
                </anchor>
              </controlPr>
            </control>
          </mc:Choice>
        </mc:AlternateContent>
        <mc:AlternateContent xmlns:mc="http://schemas.openxmlformats.org/markup-compatibility/2006">
          <mc:Choice Requires="x14">
            <control shapeId="1063" r:id="rId25" name="Option Button 39">
              <controlPr defaultSize="0" autoFill="0" autoLine="0" autoPict="0">
                <anchor moveWithCells="1">
                  <from>
                    <xdr:col>0</xdr:col>
                    <xdr:colOff>76200</xdr:colOff>
                    <xdr:row>39</xdr:row>
                    <xdr:rowOff>11430</xdr:rowOff>
                  </from>
                  <to>
                    <xdr:col>1</xdr:col>
                    <xdr:colOff>0</xdr:colOff>
                    <xdr:row>40</xdr:row>
                    <xdr:rowOff>30480</xdr:rowOff>
                  </to>
                </anchor>
              </controlPr>
            </control>
          </mc:Choice>
        </mc:AlternateContent>
        <mc:AlternateContent xmlns:mc="http://schemas.openxmlformats.org/markup-compatibility/2006">
          <mc:Choice Requires="x14">
            <control shapeId="1064" r:id="rId26" name="Option Button 40">
              <controlPr defaultSize="0" autoFill="0" autoLine="0" autoPict="0">
                <anchor moveWithCells="1">
                  <from>
                    <xdr:col>1</xdr:col>
                    <xdr:colOff>76200</xdr:colOff>
                    <xdr:row>39</xdr:row>
                    <xdr:rowOff>0</xdr:rowOff>
                  </from>
                  <to>
                    <xdr:col>1</xdr:col>
                    <xdr:colOff>1276350</xdr:colOff>
                    <xdr:row>40</xdr:row>
                    <xdr:rowOff>30480</xdr:rowOff>
                  </to>
                </anchor>
              </controlPr>
            </control>
          </mc:Choice>
        </mc:AlternateContent>
        <mc:AlternateContent xmlns:mc="http://schemas.openxmlformats.org/markup-compatibility/2006">
          <mc:Choice Requires="x14">
            <control shapeId="1065" r:id="rId27" name="Option Button 41">
              <controlPr defaultSize="0" autoFill="0" autoLine="0" autoPict="0">
                <anchor moveWithCells="1">
                  <from>
                    <xdr:col>2</xdr:col>
                    <xdr:colOff>76200</xdr:colOff>
                    <xdr:row>39</xdr:row>
                    <xdr:rowOff>0</xdr:rowOff>
                  </from>
                  <to>
                    <xdr:col>2</xdr:col>
                    <xdr:colOff>1219200</xdr:colOff>
                    <xdr:row>40</xdr:row>
                    <xdr:rowOff>30480</xdr:rowOff>
                  </to>
                </anchor>
              </controlPr>
            </control>
          </mc:Choice>
        </mc:AlternateContent>
        <mc:AlternateContent xmlns:mc="http://schemas.openxmlformats.org/markup-compatibility/2006">
          <mc:Choice Requires="x14">
            <control shapeId="1066" r:id="rId28" name="Option Button 42">
              <controlPr defaultSize="0" autoFill="0" autoLine="0" autoPict="0">
                <anchor moveWithCells="1">
                  <from>
                    <xdr:col>3</xdr:col>
                    <xdr:colOff>76200</xdr:colOff>
                    <xdr:row>39</xdr:row>
                    <xdr:rowOff>11430</xdr:rowOff>
                  </from>
                  <to>
                    <xdr:col>4</xdr:col>
                    <xdr:colOff>0</xdr:colOff>
                    <xdr:row>40</xdr:row>
                    <xdr:rowOff>30480</xdr:rowOff>
                  </to>
                </anchor>
              </controlPr>
            </control>
          </mc:Choice>
        </mc:AlternateContent>
        <mc:AlternateContent xmlns:mc="http://schemas.openxmlformats.org/markup-compatibility/2006">
          <mc:Choice Requires="x14">
            <control shapeId="1067" r:id="rId29" name="Option Button 43">
              <controlPr defaultSize="0" autoFill="0" autoLine="0" autoPict="0">
                <anchor moveWithCells="1">
                  <from>
                    <xdr:col>4</xdr:col>
                    <xdr:colOff>76200</xdr:colOff>
                    <xdr:row>38</xdr:row>
                    <xdr:rowOff>266700</xdr:rowOff>
                  </from>
                  <to>
                    <xdr:col>5</xdr:col>
                    <xdr:colOff>30480</xdr:colOff>
                    <xdr:row>40</xdr:row>
                    <xdr:rowOff>30480</xdr:rowOff>
                  </to>
                </anchor>
              </controlPr>
            </control>
          </mc:Choice>
        </mc:AlternateContent>
        <mc:AlternateContent xmlns:mc="http://schemas.openxmlformats.org/markup-compatibility/2006">
          <mc:Choice Requires="x14">
            <control shapeId="1068" r:id="rId30" name="Option Button 44">
              <controlPr defaultSize="0" autoFill="0" autoLine="0" autoPict="0">
                <anchor moveWithCells="1">
                  <from>
                    <xdr:col>0</xdr:col>
                    <xdr:colOff>76200</xdr:colOff>
                    <xdr:row>40</xdr:row>
                    <xdr:rowOff>11430</xdr:rowOff>
                  </from>
                  <to>
                    <xdr:col>0</xdr:col>
                    <xdr:colOff>1306830</xdr:colOff>
                    <xdr:row>40</xdr:row>
                    <xdr:rowOff>190500</xdr:rowOff>
                  </to>
                </anchor>
              </controlPr>
            </control>
          </mc:Choice>
        </mc:AlternateContent>
        <mc:AlternateContent xmlns:mc="http://schemas.openxmlformats.org/markup-compatibility/2006">
          <mc:Choice Requires="x14">
            <control shapeId="1069" r:id="rId31" name="Option Button 45">
              <controlPr defaultSize="0" autoFill="0" autoLine="0" autoPict="0">
                <anchor moveWithCells="1">
                  <from>
                    <xdr:col>0</xdr:col>
                    <xdr:colOff>95250</xdr:colOff>
                    <xdr:row>23</xdr:row>
                    <xdr:rowOff>278130</xdr:rowOff>
                  </from>
                  <to>
                    <xdr:col>0</xdr:col>
                    <xdr:colOff>1276350</xdr:colOff>
                    <xdr:row>25</xdr:row>
                    <xdr:rowOff>30480</xdr:rowOff>
                  </to>
                </anchor>
              </controlPr>
            </control>
          </mc:Choice>
        </mc:AlternateContent>
        <mc:AlternateContent xmlns:mc="http://schemas.openxmlformats.org/markup-compatibility/2006">
          <mc:Choice Requires="x14">
            <control shapeId="1071" r:id="rId32" name="Option Button 47">
              <controlPr defaultSize="0" autoFill="0" autoLine="0" autoPict="0">
                <anchor moveWithCells="1">
                  <from>
                    <xdr:col>4</xdr:col>
                    <xdr:colOff>114300</xdr:colOff>
                    <xdr:row>31</xdr:row>
                    <xdr:rowOff>0</xdr:rowOff>
                  </from>
                  <to>
                    <xdr:col>5</xdr:col>
                    <xdr:colOff>57150</xdr:colOff>
                    <xdr:row>32</xdr:row>
                    <xdr:rowOff>11430</xdr:rowOff>
                  </to>
                </anchor>
              </controlPr>
            </control>
          </mc:Choice>
        </mc:AlternateContent>
        <mc:AlternateContent xmlns:mc="http://schemas.openxmlformats.org/markup-compatibility/2006">
          <mc:Choice Requires="x14">
            <control shapeId="1072" r:id="rId33" name="Option Button 48">
              <controlPr defaultSize="0" autoFill="0" autoLine="0" autoPict="0">
                <anchor moveWithCells="1">
                  <from>
                    <xdr:col>3</xdr:col>
                    <xdr:colOff>30480</xdr:colOff>
                    <xdr:row>31</xdr:row>
                    <xdr:rowOff>0</xdr:rowOff>
                  </from>
                  <to>
                    <xdr:col>4</xdr:col>
                    <xdr:colOff>11430</xdr:colOff>
                    <xdr:row>32</xdr:row>
                    <xdr:rowOff>11430</xdr:rowOff>
                  </to>
                </anchor>
              </controlPr>
            </control>
          </mc:Choice>
        </mc:AlternateContent>
        <mc:AlternateContent xmlns:mc="http://schemas.openxmlformats.org/markup-compatibility/2006">
          <mc:Choice Requires="x14">
            <control shapeId="1073" r:id="rId34" name="Option Button 49">
              <controlPr defaultSize="0" autoFill="0" autoLine="0" autoPict="0">
                <anchor moveWithCells="1">
                  <from>
                    <xdr:col>2</xdr:col>
                    <xdr:colOff>87630</xdr:colOff>
                    <xdr:row>30</xdr:row>
                    <xdr:rowOff>182880</xdr:rowOff>
                  </from>
                  <to>
                    <xdr:col>2</xdr:col>
                    <xdr:colOff>1230630</xdr:colOff>
                    <xdr:row>32</xdr:row>
                    <xdr:rowOff>30480</xdr:rowOff>
                  </to>
                </anchor>
              </controlPr>
            </control>
          </mc:Choice>
        </mc:AlternateContent>
        <mc:AlternateContent xmlns:mc="http://schemas.openxmlformats.org/markup-compatibility/2006">
          <mc:Choice Requires="x14">
            <control shapeId="1074" r:id="rId35" name="Option Button 50">
              <controlPr defaultSize="0" autoFill="0" autoLine="0" autoPict="0">
                <anchor moveWithCells="1">
                  <from>
                    <xdr:col>1</xdr:col>
                    <xdr:colOff>106680</xdr:colOff>
                    <xdr:row>30</xdr:row>
                    <xdr:rowOff>182880</xdr:rowOff>
                  </from>
                  <to>
                    <xdr:col>1</xdr:col>
                    <xdr:colOff>1135380</xdr:colOff>
                    <xdr:row>32</xdr:row>
                    <xdr:rowOff>0</xdr:rowOff>
                  </to>
                </anchor>
              </controlPr>
            </control>
          </mc:Choice>
        </mc:AlternateContent>
        <mc:AlternateContent xmlns:mc="http://schemas.openxmlformats.org/markup-compatibility/2006">
          <mc:Choice Requires="x14">
            <control shapeId="1075" r:id="rId36" name="Option Button 51">
              <controlPr defaultSize="0" autoFill="0" autoLine="0" autoPict="0">
                <anchor moveWithCells="1">
                  <from>
                    <xdr:col>0</xdr:col>
                    <xdr:colOff>114300</xdr:colOff>
                    <xdr:row>31</xdr:row>
                    <xdr:rowOff>11430</xdr:rowOff>
                  </from>
                  <to>
                    <xdr:col>0</xdr:col>
                    <xdr:colOff>1192530</xdr:colOff>
                    <xdr:row>32</xdr:row>
                    <xdr:rowOff>30480</xdr:rowOff>
                  </to>
                </anchor>
              </controlPr>
            </control>
          </mc:Choice>
        </mc:AlternateContent>
        <mc:AlternateContent xmlns:mc="http://schemas.openxmlformats.org/markup-compatibility/2006">
          <mc:Choice Requires="x14">
            <control shapeId="1076" r:id="rId37" name="Option Button 52">
              <controlPr defaultSize="0" autoFill="0" autoLine="0" autoPict="0">
                <anchor moveWithCells="1">
                  <from>
                    <xdr:col>4</xdr:col>
                    <xdr:colOff>106680</xdr:colOff>
                    <xdr:row>30</xdr:row>
                    <xdr:rowOff>19050</xdr:rowOff>
                  </from>
                  <to>
                    <xdr:col>5</xdr:col>
                    <xdr:colOff>95250</xdr:colOff>
                    <xdr:row>31</xdr:row>
                    <xdr:rowOff>19050</xdr:rowOff>
                  </to>
                </anchor>
              </controlPr>
            </control>
          </mc:Choice>
        </mc:AlternateContent>
        <mc:AlternateContent xmlns:mc="http://schemas.openxmlformats.org/markup-compatibility/2006">
          <mc:Choice Requires="x14">
            <control shapeId="1077" r:id="rId38" name="Option Button 53">
              <controlPr defaultSize="0" autoFill="0" autoLine="0" autoPict="0">
                <anchor moveWithCells="1">
                  <from>
                    <xdr:col>3</xdr:col>
                    <xdr:colOff>30480</xdr:colOff>
                    <xdr:row>30</xdr:row>
                    <xdr:rowOff>0</xdr:rowOff>
                  </from>
                  <to>
                    <xdr:col>4</xdr:col>
                    <xdr:colOff>57150</xdr:colOff>
                    <xdr:row>31</xdr:row>
                    <xdr:rowOff>30480</xdr:rowOff>
                  </to>
                </anchor>
              </controlPr>
            </control>
          </mc:Choice>
        </mc:AlternateContent>
        <mc:AlternateContent xmlns:mc="http://schemas.openxmlformats.org/markup-compatibility/2006">
          <mc:Choice Requires="x14">
            <control shapeId="1078" r:id="rId39" name="Option Button 54">
              <controlPr defaultSize="0" autoFill="0" autoLine="0" autoPict="0">
                <anchor moveWithCells="1">
                  <from>
                    <xdr:col>2</xdr:col>
                    <xdr:colOff>106680</xdr:colOff>
                    <xdr:row>30</xdr:row>
                    <xdr:rowOff>0</xdr:rowOff>
                  </from>
                  <to>
                    <xdr:col>3</xdr:col>
                    <xdr:colOff>38100</xdr:colOff>
                    <xdr:row>31</xdr:row>
                    <xdr:rowOff>19050</xdr:rowOff>
                  </to>
                </anchor>
              </controlPr>
            </control>
          </mc:Choice>
        </mc:AlternateContent>
        <mc:AlternateContent xmlns:mc="http://schemas.openxmlformats.org/markup-compatibility/2006">
          <mc:Choice Requires="x14">
            <control shapeId="1080" r:id="rId40" name="Option Button 56">
              <controlPr defaultSize="0" autoFill="0" autoLine="0" autoPict="0">
                <anchor moveWithCells="1">
                  <from>
                    <xdr:col>1</xdr:col>
                    <xdr:colOff>106680</xdr:colOff>
                    <xdr:row>30</xdr:row>
                    <xdr:rowOff>0</xdr:rowOff>
                  </from>
                  <to>
                    <xdr:col>1</xdr:col>
                    <xdr:colOff>1181100</xdr:colOff>
                    <xdr:row>31</xdr:row>
                    <xdr:rowOff>19050</xdr:rowOff>
                  </to>
                </anchor>
              </controlPr>
            </control>
          </mc:Choice>
        </mc:AlternateContent>
        <mc:AlternateContent xmlns:mc="http://schemas.openxmlformats.org/markup-compatibility/2006">
          <mc:Choice Requires="x14">
            <control shapeId="1081" r:id="rId41" name="Option Button 57">
              <controlPr defaultSize="0" autoFill="0" autoLine="0" autoPict="0">
                <anchor moveWithCells="1">
                  <from>
                    <xdr:col>0</xdr:col>
                    <xdr:colOff>106680</xdr:colOff>
                    <xdr:row>30</xdr:row>
                    <xdr:rowOff>0</xdr:rowOff>
                  </from>
                  <to>
                    <xdr:col>0</xdr:col>
                    <xdr:colOff>1181100</xdr:colOff>
                    <xdr:row>31</xdr:row>
                    <xdr:rowOff>19050</xdr:rowOff>
                  </to>
                </anchor>
              </controlPr>
            </control>
          </mc:Choice>
        </mc:AlternateContent>
        <mc:AlternateContent xmlns:mc="http://schemas.openxmlformats.org/markup-compatibility/2006">
          <mc:Choice Requires="x14">
            <control shapeId="1083" r:id="rId42" name="Option Button 59">
              <controlPr defaultSize="0" autoFill="0" autoLine="0" autoPict="0">
                <anchor moveWithCells="1">
                  <from>
                    <xdr:col>4</xdr:col>
                    <xdr:colOff>106680</xdr:colOff>
                    <xdr:row>29</xdr:row>
                    <xdr:rowOff>19050</xdr:rowOff>
                  </from>
                  <to>
                    <xdr:col>5</xdr:col>
                    <xdr:colOff>30480</xdr:colOff>
                    <xdr:row>30</xdr:row>
                    <xdr:rowOff>30480</xdr:rowOff>
                  </to>
                </anchor>
              </controlPr>
            </control>
          </mc:Choice>
        </mc:AlternateContent>
        <mc:AlternateContent xmlns:mc="http://schemas.openxmlformats.org/markup-compatibility/2006">
          <mc:Choice Requires="x14">
            <control shapeId="1084" r:id="rId43" name="Option Button 60">
              <controlPr defaultSize="0" autoFill="0" autoLine="0" autoPict="0">
                <anchor moveWithCells="1">
                  <from>
                    <xdr:col>3</xdr:col>
                    <xdr:colOff>38100</xdr:colOff>
                    <xdr:row>28</xdr:row>
                    <xdr:rowOff>171450</xdr:rowOff>
                  </from>
                  <to>
                    <xdr:col>4</xdr:col>
                    <xdr:colOff>0</xdr:colOff>
                    <xdr:row>30</xdr:row>
                    <xdr:rowOff>19050</xdr:rowOff>
                  </to>
                </anchor>
              </controlPr>
            </control>
          </mc:Choice>
        </mc:AlternateContent>
        <mc:AlternateContent xmlns:mc="http://schemas.openxmlformats.org/markup-compatibility/2006">
          <mc:Choice Requires="x14">
            <control shapeId="1085" r:id="rId44" name="Option Button 61">
              <controlPr defaultSize="0" autoFill="0" autoLine="0" autoPict="0">
                <anchor moveWithCells="1">
                  <from>
                    <xdr:col>2</xdr:col>
                    <xdr:colOff>106680</xdr:colOff>
                    <xdr:row>29</xdr:row>
                    <xdr:rowOff>0</xdr:rowOff>
                  </from>
                  <to>
                    <xdr:col>3</xdr:col>
                    <xdr:colOff>11430</xdr:colOff>
                    <xdr:row>30</xdr:row>
                    <xdr:rowOff>30480</xdr:rowOff>
                  </to>
                </anchor>
              </controlPr>
            </control>
          </mc:Choice>
        </mc:AlternateContent>
        <mc:AlternateContent xmlns:mc="http://schemas.openxmlformats.org/markup-compatibility/2006">
          <mc:Choice Requires="x14">
            <control shapeId="1086" r:id="rId45" name="Option Button 62">
              <controlPr defaultSize="0" autoFill="0" autoLine="0" autoPict="0">
                <anchor moveWithCells="1">
                  <from>
                    <xdr:col>1</xdr:col>
                    <xdr:colOff>106680</xdr:colOff>
                    <xdr:row>29</xdr:row>
                    <xdr:rowOff>11430</xdr:rowOff>
                  </from>
                  <to>
                    <xdr:col>1</xdr:col>
                    <xdr:colOff>1306830</xdr:colOff>
                    <xdr:row>30</xdr:row>
                    <xdr:rowOff>30480</xdr:rowOff>
                  </to>
                </anchor>
              </controlPr>
            </control>
          </mc:Choice>
        </mc:AlternateContent>
        <mc:AlternateContent xmlns:mc="http://schemas.openxmlformats.org/markup-compatibility/2006">
          <mc:Choice Requires="x14">
            <control shapeId="1087" r:id="rId46" name="Option Button 63">
              <controlPr defaultSize="0" autoFill="0" autoLine="0" autoPict="0">
                <anchor moveWithCells="1">
                  <from>
                    <xdr:col>0</xdr:col>
                    <xdr:colOff>106680</xdr:colOff>
                    <xdr:row>29</xdr:row>
                    <xdr:rowOff>19050</xdr:rowOff>
                  </from>
                  <to>
                    <xdr:col>0</xdr:col>
                    <xdr:colOff>1181100</xdr:colOff>
                    <xdr:row>30</xdr:row>
                    <xdr:rowOff>30480</xdr:rowOff>
                  </to>
                </anchor>
              </controlPr>
            </control>
          </mc:Choice>
        </mc:AlternateContent>
        <mc:AlternateContent xmlns:mc="http://schemas.openxmlformats.org/markup-compatibility/2006">
          <mc:Choice Requires="x14">
            <control shapeId="1088" r:id="rId47" name="Option Button 64">
              <controlPr defaultSize="0" autoFill="0" autoLine="0" autoPict="0">
                <anchor moveWithCells="1">
                  <from>
                    <xdr:col>4</xdr:col>
                    <xdr:colOff>106680</xdr:colOff>
                    <xdr:row>28</xdr:row>
                    <xdr:rowOff>0</xdr:rowOff>
                  </from>
                  <to>
                    <xdr:col>5</xdr:col>
                    <xdr:colOff>38100</xdr:colOff>
                    <xdr:row>29</xdr:row>
                    <xdr:rowOff>30480</xdr:rowOff>
                  </to>
                </anchor>
              </controlPr>
            </control>
          </mc:Choice>
        </mc:AlternateContent>
        <mc:AlternateContent xmlns:mc="http://schemas.openxmlformats.org/markup-compatibility/2006">
          <mc:Choice Requires="x14">
            <control shapeId="1089" r:id="rId48" name="Option Button 65">
              <controlPr defaultSize="0" autoFill="0" autoLine="0" autoPict="0">
                <anchor moveWithCells="1">
                  <from>
                    <xdr:col>3</xdr:col>
                    <xdr:colOff>49530</xdr:colOff>
                    <xdr:row>28</xdr:row>
                    <xdr:rowOff>0</xdr:rowOff>
                  </from>
                  <to>
                    <xdr:col>3</xdr:col>
                    <xdr:colOff>1154430</xdr:colOff>
                    <xdr:row>29</xdr:row>
                    <xdr:rowOff>19050</xdr:rowOff>
                  </to>
                </anchor>
              </controlPr>
            </control>
          </mc:Choice>
        </mc:AlternateContent>
        <mc:AlternateContent xmlns:mc="http://schemas.openxmlformats.org/markup-compatibility/2006">
          <mc:Choice Requires="x14">
            <control shapeId="1090" r:id="rId49" name="Option Button 66">
              <controlPr defaultSize="0" autoFill="0" autoLine="0" autoPict="0">
                <anchor moveWithCells="1">
                  <from>
                    <xdr:col>2</xdr:col>
                    <xdr:colOff>106680</xdr:colOff>
                    <xdr:row>28</xdr:row>
                    <xdr:rowOff>0</xdr:rowOff>
                  </from>
                  <to>
                    <xdr:col>3</xdr:col>
                    <xdr:colOff>38100</xdr:colOff>
                    <xdr:row>29</xdr:row>
                    <xdr:rowOff>30480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E19"/>
  <sheetViews>
    <sheetView topLeftCell="A7" zoomScaleNormal="100" workbookViewId="0">
      <selection activeCell="D6" sqref="D6"/>
    </sheetView>
  </sheetViews>
  <sheetFormatPr defaultRowHeight="14.4" x14ac:dyDescent="0.55000000000000004"/>
  <cols>
    <col min="1" max="1" width="20.83984375" customWidth="1"/>
    <col min="2" max="2" width="26.68359375" customWidth="1"/>
    <col min="3" max="3" width="19" customWidth="1"/>
    <col min="4" max="4" width="27.578125" customWidth="1"/>
    <col min="5" max="5" width="17" customWidth="1"/>
  </cols>
  <sheetData>
    <row r="2" spans="1:5" x14ac:dyDescent="0.55000000000000004">
      <c r="A2" s="224" t="s">
        <v>68</v>
      </c>
      <c r="B2" s="224"/>
      <c r="C2" s="131"/>
      <c r="D2" s="223" t="s">
        <v>69</v>
      </c>
      <c r="E2" s="223"/>
    </row>
    <row r="4" spans="1:5" x14ac:dyDescent="0.55000000000000004">
      <c r="A4" s="132"/>
      <c r="B4" s="221" t="s">
        <v>70</v>
      </c>
      <c r="C4" s="221"/>
      <c r="D4" s="222" t="s">
        <v>71</v>
      </c>
      <c r="E4" s="222"/>
    </row>
    <row r="5" spans="1:5" x14ac:dyDescent="0.55000000000000004">
      <c r="A5" s="132"/>
      <c r="B5" s="134" t="s">
        <v>72</v>
      </c>
      <c r="C5" s="134" t="s">
        <v>39</v>
      </c>
      <c r="D5" s="133" t="s">
        <v>72</v>
      </c>
      <c r="E5" s="133" t="s">
        <v>39</v>
      </c>
    </row>
    <row r="6" spans="1:5" ht="144" x14ac:dyDescent="0.55000000000000004">
      <c r="A6" s="141" t="s">
        <v>70</v>
      </c>
      <c r="B6" s="145" t="s">
        <v>98</v>
      </c>
      <c r="C6" s="135" t="s">
        <v>73</v>
      </c>
      <c r="D6" s="132"/>
      <c r="E6" s="132"/>
    </row>
    <row r="7" spans="1:5" ht="144" x14ac:dyDescent="0.55000000000000004">
      <c r="A7" s="140" t="s">
        <v>74</v>
      </c>
      <c r="B7" s="137" t="s">
        <v>98</v>
      </c>
      <c r="C7" s="142" t="s">
        <v>99</v>
      </c>
      <c r="D7" s="138"/>
      <c r="E7" s="138"/>
    </row>
    <row r="8" spans="1:5" ht="28.8" x14ac:dyDescent="0.55000000000000004">
      <c r="A8" s="140" t="s">
        <v>75</v>
      </c>
      <c r="B8" s="135" t="s">
        <v>76</v>
      </c>
      <c r="C8" s="143">
        <v>0</v>
      </c>
      <c r="D8" s="138"/>
      <c r="E8" s="138"/>
    </row>
    <row r="9" spans="1:5" ht="43.2" x14ac:dyDescent="0.55000000000000004">
      <c r="A9" s="141" t="s">
        <v>77</v>
      </c>
      <c r="B9" s="135" t="s">
        <v>78</v>
      </c>
      <c r="C9" s="143"/>
      <c r="D9" s="138"/>
      <c r="E9" s="138"/>
    </row>
    <row r="10" spans="1:5" x14ac:dyDescent="0.55000000000000004">
      <c r="A10" s="141" t="s">
        <v>79</v>
      </c>
      <c r="B10" s="135" t="s">
        <v>80</v>
      </c>
      <c r="C10" s="143">
        <v>0</v>
      </c>
      <c r="D10" s="138"/>
      <c r="E10" s="138"/>
    </row>
    <row r="11" spans="1:5" ht="144" x14ac:dyDescent="0.55000000000000004">
      <c r="A11" s="141" t="s">
        <v>81</v>
      </c>
      <c r="B11" s="136"/>
      <c r="C11" s="143"/>
      <c r="D11" s="139" t="s">
        <v>97</v>
      </c>
      <c r="E11" s="138"/>
    </row>
    <row r="12" spans="1:5" ht="43.2" x14ac:dyDescent="0.55000000000000004">
      <c r="A12" s="141" t="s">
        <v>82</v>
      </c>
      <c r="B12" s="136"/>
      <c r="C12" s="143"/>
      <c r="D12" s="139" t="s">
        <v>83</v>
      </c>
      <c r="E12" s="138"/>
    </row>
    <row r="13" spans="1:5" ht="28.8" x14ac:dyDescent="0.55000000000000004">
      <c r="A13" s="141" t="s">
        <v>84</v>
      </c>
      <c r="B13" s="136"/>
      <c r="C13" s="143"/>
      <c r="D13" s="139" t="s">
        <v>85</v>
      </c>
      <c r="E13" s="139" t="s">
        <v>86</v>
      </c>
    </row>
    <row r="14" spans="1:5" ht="72" x14ac:dyDescent="0.55000000000000004">
      <c r="A14" s="141" t="s">
        <v>87</v>
      </c>
      <c r="B14" s="136"/>
      <c r="C14" s="143"/>
      <c r="D14" s="139" t="s">
        <v>88</v>
      </c>
      <c r="E14" s="138" t="s">
        <v>89</v>
      </c>
    </row>
    <row r="15" spans="1:5" ht="28.8" x14ac:dyDescent="0.55000000000000004">
      <c r="A15" s="141" t="s">
        <v>90</v>
      </c>
      <c r="B15" s="136"/>
      <c r="C15" s="143"/>
      <c r="D15" s="139" t="s">
        <v>91</v>
      </c>
      <c r="E15" s="138"/>
    </row>
    <row r="16" spans="1:5" x14ac:dyDescent="0.55000000000000004">
      <c r="A16" s="141" t="s">
        <v>92</v>
      </c>
      <c r="B16" s="136"/>
      <c r="C16" s="143"/>
      <c r="D16" s="139" t="s">
        <v>96</v>
      </c>
      <c r="E16" s="144">
        <v>0</v>
      </c>
    </row>
    <row r="17" spans="1:5" x14ac:dyDescent="0.55000000000000004">
      <c r="A17" s="141" t="s">
        <v>93</v>
      </c>
      <c r="B17" s="136"/>
      <c r="C17" s="143"/>
      <c r="D17" s="139" t="s">
        <v>96</v>
      </c>
      <c r="E17" s="144">
        <v>0</v>
      </c>
    </row>
    <row r="18" spans="1:5" x14ac:dyDescent="0.55000000000000004">
      <c r="A18" s="141" t="s">
        <v>94</v>
      </c>
      <c r="B18" s="136"/>
      <c r="C18" s="143"/>
      <c r="D18" s="139" t="s">
        <v>96</v>
      </c>
      <c r="E18" s="144">
        <v>0</v>
      </c>
    </row>
    <row r="19" spans="1:5" x14ac:dyDescent="0.55000000000000004">
      <c r="A19" s="141" t="s">
        <v>95</v>
      </c>
      <c r="B19" s="136"/>
      <c r="C19" s="143"/>
      <c r="D19" s="139" t="s">
        <v>96</v>
      </c>
      <c r="E19" s="144">
        <v>0</v>
      </c>
    </row>
  </sheetData>
  <mergeCells count="4">
    <mergeCell ref="B4:C4"/>
    <mergeCell ref="D4:E4"/>
    <mergeCell ref="D2:E2"/>
    <mergeCell ref="A2:B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Travel &amp; Living Guidelines</vt:lpstr>
      <vt:lpstr>Travel Expense Reimbursement</vt:lpstr>
      <vt:lpstr>Housing &amp; Relocation Policy</vt:lpstr>
    </vt:vector>
  </TitlesOfParts>
  <Company>GE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Andrea Steindl</dc:creator>
  <cp:lastModifiedBy>503036935</cp:lastModifiedBy>
  <cp:lastPrinted>2016-07-08T18:42:33Z</cp:lastPrinted>
  <dcterms:created xsi:type="dcterms:W3CDTF">2016-06-02T15:43:54Z</dcterms:created>
  <dcterms:modified xsi:type="dcterms:W3CDTF">2018-11-01T17:53:59Z</dcterms:modified>
</cp:coreProperties>
</file>